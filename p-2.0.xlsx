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AB-PC002\Desktop\sumo_project\"/>
    </mc:Choice>
  </mc:AlternateContent>
  <xr:revisionPtr revIDLastSave="0" documentId="8_{A6262683-CD4E-49EA-AE55-19CFBBC0E640}" xr6:coauthVersionLast="47" xr6:coauthVersionMax="47" xr10:uidLastSave="{00000000-0000-0000-0000-000000000000}"/>
  <bookViews>
    <workbookView xWindow="780" yWindow="780" windowWidth="21600" windowHeight="11295" xr2:uid="{1F43AE19-DE8E-47EC-BD8B-FD3083A86E49}"/>
  </bookViews>
  <sheets>
    <sheet name="Sheet1" sheetId="1" r:id="rId1"/>
  </sheets>
  <calcPr calcId="0"/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772FD9-0263-45EC-824D-72C807337C29}" name="tripinfo" type="4" refreshedVersion="0" background="1">
    <webPr xml="1" sourceData="1" url="C:\Users\GLAB-PC002\Desktop\sumo_project\tripinfo.xml" htmlTables="1" htmlFormat="all"/>
  </connection>
</connections>
</file>

<file path=xl/sharedStrings.xml><?xml version="1.0" encoding="utf-8"?>
<sst xmlns="http://schemas.openxmlformats.org/spreadsheetml/2006/main" count="422" uniqueCount="167">
  <si>
    <t>id</t>
    <phoneticPr fontId="1"/>
  </si>
  <si>
    <t>depart</t>
    <phoneticPr fontId="1"/>
  </si>
  <si>
    <t>departLane</t>
    <phoneticPr fontId="1"/>
  </si>
  <si>
    <t>departPos</t>
    <phoneticPr fontId="1"/>
  </si>
  <si>
    <t>departSpeed</t>
    <phoneticPr fontId="1"/>
  </si>
  <si>
    <t>departDelay</t>
    <phoneticPr fontId="1"/>
  </si>
  <si>
    <t>arrival</t>
    <phoneticPr fontId="1"/>
  </si>
  <si>
    <t>arrivalLane</t>
    <phoneticPr fontId="1"/>
  </si>
  <si>
    <t>arrivalPos</t>
    <phoneticPr fontId="1"/>
  </si>
  <si>
    <t>arrivalSpeed</t>
    <phoneticPr fontId="1"/>
  </si>
  <si>
    <t>duration</t>
    <phoneticPr fontId="1"/>
  </si>
  <si>
    <t>routeLength</t>
    <phoneticPr fontId="1"/>
  </si>
  <si>
    <t>waitingTime</t>
    <phoneticPr fontId="1"/>
  </si>
  <si>
    <t>waitingCount</t>
    <phoneticPr fontId="1"/>
  </si>
  <si>
    <t>stopTime</t>
    <phoneticPr fontId="1"/>
  </si>
  <si>
    <t>timeLoss</t>
    <phoneticPr fontId="1"/>
  </si>
  <si>
    <t>rerouteNo</t>
    <phoneticPr fontId="1"/>
  </si>
  <si>
    <t>devices</t>
    <phoneticPr fontId="1"/>
  </si>
  <si>
    <t>vType</t>
    <phoneticPr fontId="1"/>
  </si>
  <si>
    <t>speedFactor</t>
    <phoneticPr fontId="1"/>
  </si>
  <si>
    <t>vaporized</t>
    <phoneticPr fontId="1"/>
  </si>
  <si>
    <t>E6_0</t>
  </si>
  <si>
    <t>-E21_0</t>
  </si>
  <si>
    <t>-E6_0</t>
  </si>
  <si>
    <t>-E7_0</t>
  </si>
  <si>
    <t>E0_0</t>
  </si>
  <si>
    <t>-E0_0</t>
  </si>
  <si>
    <t>-E2_0</t>
  </si>
  <si>
    <t>-E16_0</t>
  </si>
  <si>
    <t>-E3_0</t>
  </si>
  <si>
    <t>-E18_0</t>
  </si>
  <si>
    <t>-E1_0</t>
  </si>
  <si>
    <t>-E17_0</t>
  </si>
  <si>
    <t>-E9_0</t>
  </si>
  <si>
    <t>-E10_0</t>
  </si>
  <si>
    <t>-E15_0</t>
  </si>
  <si>
    <t>E1_0</t>
  </si>
  <si>
    <t>-E14_0</t>
  </si>
  <si>
    <t>E10_0</t>
  </si>
  <si>
    <t>-E12_0</t>
  </si>
  <si>
    <t>E8_0</t>
  </si>
  <si>
    <t>E4_0</t>
  </si>
  <si>
    <t>-E8_0</t>
  </si>
  <si>
    <t>E9_0</t>
  </si>
  <si>
    <t>-E4_0</t>
  </si>
  <si>
    <t>-E22_0</t>
  </si>
  <si>
    <t>E3_0</t>
  </si>
  <si>
    <t>E5_0</t>
  </si>
  <si>
    <t>E2_0</t>
  </si>
  <si>
    <t>E7_0</t>
  </si>
  <si>
    <t>-E23_0</t>
  </si>
  <si>
    <t>-E11_0</t>
  </si>
  <si>
    <t>-E19_0</t>
  </si>
  <si>
    <t>E11_0</t>
  </si>
  <si>
    <t>E20_0</t>
  </si>
  <si>
    <t>E18_0</t>
  </si>
  <si>
    <t>E12_0</t>
  </si>
  <si>
    <t>E17_0</t>
  </si>
  <si>
    <t>E21_0</t>
  </si>
  <si>
    <t>E19_0</t>
  </si>
  <si>
    <t>E15_0</t>
  </si>
  <si>
    <t>E13_0</t>
  </si>
  <si>
    <t>E23_0</t>
  </si>
  <si>
    <t>-E5_0</t>
  </si>
  <si>
    <t>E16_0</t>
  </si>
  <si>
    <t>tripinfo_8</t>
  </si>
  <si>
    <t>tripinfo_5</t>
  </si>
  <si>
    <t>tripinfo_9</t>
  </si>
  <si>
    <t>tripinfo_7</t>
  </si>
  <si>
    <t>tripinfo_25</t>
  </si>
  <si>
    <t>tripinfo_37</t>
  </si>
  <si>
    <t>tripinfo_17</t>
  </si>
  <si>
    <t>tripinfo_0</t>
  </si>
  <si>
    <t>tripinfo_21</t>
  </si>
  <si>
    <t>tripinfo_39</t>
  </si>
  <si>
    <t>tripinfo_15</t>
  </si>
  <si>
    <t>tripinfo_4</t>
  </si>
  <si>
    <t>tripinfo_19</t>
  </si>
  <si>
    <t>tripinfo_12</t>
  </si>
  <si>
    <t>tripinfo_35</t>
  </si>
  <si>
    <t>tripinfo_1</t>
  </si>
  <si>
    <t>tripinfo_24</t>
  </si>
  <si>
    <t>tripinfo_26</t>
  </si>
  <si>
    <t>tripinfo_41</t>
  </si>
  <si>
    <t>tripinfo_11</t>
  </si>
  <si>
    <t>tripinfo_55</t>
  </si>
  <si>
    <t>tripinfo_53</t>
  </si>
  <si>
    <t>tripinfo_28</t>
  </si>
  <si>
    <t>tripinfo_33</t>
  </si>
  <si>
    <t>tripinfo_47</t>
  </si>
  <si>
    <t>tripinfo_18</t>
  </si>
  <si>
    <t>tripinfo_13</t>
  </si>
  <si>
    <t>tripinfo_32</t>
  </si>
  <si>
    <t>tripinfo_34</t>
  </si>
  <si>
    <t>tripinfo_20</t>
  </si>
  <si>
    <t>tripinfo_2</t>
  </si>
  <si>
    <t>tripinfo_10</t>
  </si>
  <si>
    <t>tripinfo_16</t>
  </si>
  <si>
    <t>tripinfo_30</t>
  </si>
  <si>
    <t>tripinfo_40</t>
  </si>
  <si>
    <t>tripinfo_43</t>
  </si>
  <si>
    <t>tripinfo_3</t>
  </si>
  <si>
    <t>tripinfo_14</t>
  </si>
  <si>
    <t>tripinfo_23</t>
  </si>
  <si>
    <t>tripinfo_22</t>
  </si>
  <si>
    <t>tripinfo_38</t>
  </si>
  <si>
    <t>tripinfo_48</t>
  </si>
  <si>
    <t>tripinfo_36</t>
  </si>
  <si>
    <t>tripinfo_54</t>
  </si>
  <si>
    <t>tripinfo_58</t>
  </si>
  <si>
    <t>tripinfo_83</t>
  </si>
  <si>
    <t>tripinfo_44</t>
  </si>
  <si>
    <t>tripinfo_59</t>
  </si>
  <si>
    <t>tripinfo_61</t>
  </si>
  <si>
    <t>tripinfo_27</t>
  </si>
  <si>
    <t>tripinfo_31</t>
  </si>
  <si>
    <t>tripinfo_49</t>
  </si>
  <si>
    <t>tripinfo_52</t>
  </si>
  <si>
    <t>tripinfo_42</t>
  </si>
  <si>
    <t>tripinfo_6</t>
  </si>
  <si>
    <t>tripinfo_56</t>
  </si>
  <si>
    <t>tripinfo_85</t>
  </si>
  <si>
    <t>tripinfo_72</t>
  </si>
  <si>
    <t>tripinfo_81</t>
  </si>
  <si>
    <t>tripinfo_64</t>
  </si>
  <si>
    <t>tripinfo_70</t>
  </si>
  <si>
    <t>tripinfo_78</t>
  </si>
  <si>
    <t>tripinfo_79</t>
  </si>
  <si>
    <t>tripinfo_51</t>
  </si>
  <si>
    <t>tripinfo_82</t>
  </si>
  <si>
    <t>tripinfo_96</t>
  </si>
  <si>
    <t>tripinfo_57</t>
  </si>
  <si>
    <t>tripinfo_63</t>
  </si>
  <si>
    <t>tripinfo_46</t>
  </si>
  <si>
    <t>tripinfo_73</t>
  </si>
  <si>
    <t>tripinfo_29</t>
  </si>
  <si>
    <t>tripinfo_84</t>
  </si>
  <si>
    <t>tripinfo_77</t>
  </si>
  <si>
    <t>tripinfo_71</t>
  </si>
  <si>
    <t>tripinfo_92</t>
  </si>
  <si>
    <t>tripinfo_75</t>
  </si>
  <si>
    <t>tripinfo_65</t>
  </si>
  <si>
    <t>tripinfo_80</t>
  </si>
  <si>
    <t>tripinfo_62</t>
  </si>
  <si>
    <t>tripinfo_60</t>
  </si>
  <si>
    <t>tripinfo_74</t>
  </si>
  <si>
    <t>tripinfo_87</t>
  </si>
  <si>
    <t>tripinfo_86</t>
  </si>
  <si>
    <t>tripinfo_76</t>
  </si>
  <si>
    <t>tripinfo_89</t>
  </si>
  <si>
    <t>tripinfo_90</t>
  </si>
  <si>
    <t>tripinfo_68</t>
  </si>
  <si>
    <t>tripinfo_94</t>
  </si>
  <si>
    <t>tripinfo_45</t>
  </si>
  <si>
    <t>tripinfo_69</t>
  </si>
  <si>
    <t>tripinfo_95</t>
  </si>
  <si>
    <t>tripinfo_66</t>
  </si>
  <si>
    <t>tripinfo_91</t>
  </si>
  <si>
    <t>tripinfo_93</t>
  </si>
  <si>
    <t>tripinfo_99</t>
  </si>
  <si>
    <t>tripinfo_50</t>
  </si>
  <si>
    <t>tripinfo_67</t>
  </si>
  <si>
    <t>tripinfo_98</t>
  </si>
  <si>
    <t>tripinfo_88</t>
  </si>
  <si>
    <t>tripinfo_97</t>
  </si>
  <si>
    <t>DEFAULT_VEHTYPE</t>
  </si>
  <si>
    <t>列1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</si>
</sst>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ripinfos">
        <xsd:complexType>
          <xsd:sequence minOccurs="0">
            <xsd:element minOccurs="0" maxOccurs="unbounded" nillable="true" name="tripinfo" form="unqualified">
              <xsd:complexType>
                <xsd:attribute name="id" form="unqualified" type="xsd:integer"/>
                <xsd:attribute name="depart" form="unqualified" type="xsd:double"/>
                <xsd:attribute name="departLane" form="unqualified" type="xsd:string"/>
                <xsd:attribute name="departPos" form="unqualified" type="xsd:double"/>
                <xsd:attribute name="departSpeed" form="unqualified" type="xsd:double"/>
                <xsd:attribute name="departDelay" form="unqualified" type="xsd:double"/>
                <xsd:attribute name="arrival" form="unqualified" type="xsd:double"/>
                <xsd:attribute name="arrivalLane" form="unqualified" type="xsd:string"/>
                <xsd:attribute name="arrivalPos" form="unqualified" type="xsd:double"/>
                <xsd:attribute name="arrivalSpeed" form="unqualified" type="xsd:double"/>
                <xsd:attribute name="duration" form="unqualified" type="xsd:double"/>
                <xsd:attribute name="routeLength" form="unqualified" type="xsd:double"/>
                <xsd:attribute name="waitingTime" form="unqualified" type="xsd:double"/>
                <xsd:attribute name="waitingCount" form="unqualified" type="xsd:integer"/>
                <xsd:attribute name="stopTime" form="unqualified" type="xsd:double"/>
                <xsd:attribute name="timeLoss" form="unqualified" type="xsd:double"/>
                <xsd:attribute name="rerouteNo" form="unqualified" type="xsd:integer"/>
                <xsd:attribute name="devices" form="unqualified" type="xsd:string"/>
                <xsd:attribute name="vType" form="unqualified" type="xsd:string"/>
                <xsd:attribute name="speedFactor" form="unqualified" type="xsd:double"/>
                <xsd:attribute name="vaporized" form="unqualified" type="xsd:string"/>
              </xsd:complexType>
            </xsd:element>
          </xsd:sequence>
        </xsd:complexType>
      </xsd:element>
    </xsd:schema>
  </Schema>
  <Map ID="1" Name="tripinfos_対応付け" RootElement="tripinfo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xmlMaps" Target="xmlMap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FDE07-0262-4768-A055-4D36726182E5}" name="テーブル1" displayName="テーブル1" ref="A1:V101" tableType="xml" totalsRowShown="0" connectionId="1">
  <autoFilter ref="A1:V101" xr:uid="{469FDE07-0262-4768-A055-4D36726182E5}"/>
  <tableColumns count="22">
    <tableColumn id="1" xr3:uid="{6AB3025E-09E2-461C-8F73-0D23E5358602}" uniqueName="id" name="id">
      <xmlColumnPr mapId="1" xpath="/tripinfos/tripinfo/@id" xmlDataType="integer"/>
    </tableColumn>
    <tableColumn id="2" xr3:uid="{EA27F1F4-BEF1-4095-88E9-8F7921BF034C}" uniqueName="depart" name="depart">
      <xmlColumnPr mapId="1" xpath="/tripinfos/tripinfo/@depart" xmlDataType="double"/>
    </tableColumn>
    <tableColumn id="3" xr3:uid="{DEA9348F-BB16-4C7C-A48B-F5CD635776CF}" uniqueName="departLane" name="departLane">
      <xmlColumnPr mapId="1" xpath="/tripinfos/tripinfo/@departLane" xmlDataType="string"/>
    </tableColumn>
    <tableColumn id="4" xr3:uid="{41CE27AA-0CB1-4063-90EF-16CCD9B6B76B}" uniqueName="departPos" name="departPos">
      <xmlColumnPr mapId="1" xpath="/tripinfos/tripinfo/@departPos" xmlDataType="double"/>
    </tableColumn>
    <tableColumn id="5" xr3:uid="{DFD3958A-B479-40C5-87D1-1FE96C3FCD28}" uniqueName="departSpeed" name="departSpeed">
      <xmlColumnPr mapId="1" xpath="/tripinfos/tripinfo/@departSpeed" xmlDataType="double"/>
    </tableColumn>
    <tableColumn id="6" xr3:uid="{AB1E8570-9895-4C18-BB28-9E9A9748B9D6}" uniqueName="departDelay" name="departDelay">
      <xmlColumnPr mapId="1" xpath="/tripinfos/tripinfo/@departDelay" xmlDataType="double"/>
    </tableColumn>
    <tableColumn id="7" xr3:uid="{4067FA93-82CE-44DE-8256-452BF9624F38}" uniqueName="arrival" name="arrival">
      <xmlColumnPr mapId="1" xpath="/tripinfos/tripinfo/@arrival" xmlDataType="double"/>
    </tableColumn>
    <tableColumn id="8" xr3:uid="{A56FB1D3-93BC-4FED-ABD2-B406EC7D2683}" uniqueName="arrivalLane" name="arrivalLane">
      <xmlColumnPr mapId="1" xpath="/tripinfos/tripinfo/@arrivalLane" xmlDataType="string"/>
    </tableColumn>
    <tableColumn id="9" xr3:uid="{E906E265-31F6-413B-9042-2F98CB1323F3}" uniqueName="arrivalPos" name="arrivalPos">
      <xmlColumnPr mapId="1" xpath="/tripinfos/tripinfo/@arrivalPos" xmlDataType="double"/>
    </tableColumn>
    <tableColumn id="10" xr3:uid="{2F6EA032-6FD3-4ECD-86B6-83880E6CB607}" uniqueName="arrivalSpeed" name="arrivalSpeed">
      <xmlColumnPr mapId="1" xpath="/tripinfos/tripinfo/@arrivalSpeed" xmlDataType="double"/>
    </tableColumn>
    <tableColumn id="11" xr3:uid="{32D3DF50-DB59-4F6E-9066-BBC263E5CC69}" uniqueName="duration" name="duration">
      <xmlColumnPr mapId="1" xpath="/tripinfos/tripinfo/@duration" xmlDataType="double"/>
    </tableColumn>
    <tableColumn id="12" xr3:uid="{29503F47-0A24-449C-90D1-C42AF8DF9CA1}" uniqueName="routeLength" name="routeLength">
      <xmlColumnPr mapId="1" xpath="/tripinfos/tripinfo/@routeLength" xmlDataType="double"/>
    </tableColumn>
    <tableColumn id="13" xr3:uid="{CC0FEF80-E4AC-4A9B-BBB9-DEE53BDC97E0}" uniqueName="waitingTime" name="waitingTime">
      <xmlColumnPr mapId="1" xpath="/tripinfos/tripinfo/@waitingTime" xmlDataType="double"/>
    </tableColumn>
    <tableColumn id="14" xr3:uid="{B540856A-2C43-49A3-AC30-FBD3D4C577C1}" uniqueName="waitingCount" name="waitingCount">
      <xmlColumnPr mapId="1" xpath="/tripinfos/tripinfo/@waitingCount" xmlDataType="integer"/>
    </tableColumn>
    <tableColumn id="15" xr3:uid="{7BA40B1B-25A1-4B57-9BC0-F9C2E9942162}" uniqueName="stopTime" name="stopTime">
      <xmlColumnPr mapId="1" xpath="/tripinfos/tripinfo/@stopTime" xmlDataType="double"/>
    </tableColumn>
    <tableColumn id="16" xr3:uid="{6EF63EC9-16D2-4F36-B6E6-4BABD40DC233}" uniqueName="timeLoss" name="timeLoss">
      <xmlColumnPr mapId="1" xpath="/tripinfos/tripinfo/@timeLoss" xmlDataType="double"/>
    </tableColumn>
    <tableColumn id="17" xr3:uid="{7F3C2049-C02F-4F73-902C-32CBABE840FC}" uniqueName="rerouteNo" name="rerouteNo">
      <xmlColumnPr mapId="1" xpath="/tripinfos/tripinfo/@rerouteNo" xmlDataType="integer"/>
    </tableColumn>
    <tableColumn id="18" xr3:uid="{687AAB06-F956-4340-820D-0F913867F62A}" uniqueName="devices" name="devices">
      <xmlColumnPr mapId="1" xpath="/tripinfos/tripinfo/@devices" xmlDataType="string"/>
    </tableColumn>
    <tableColumn id="19" xr3:uid="{CD53F5EA-F2FD-4075-A965-42A11027414E}" uniqueName="vType" name="vType">
      <xmlColumnPr mapId="1" xpath="/tripinfos/tripinfo/@vType" xmlDataType="string"/>
    </tableColumn>
    <tableColumn id="20" xr3:uid="{FADAB2FD-7B59-4D48-8469-71F3686AEE53}" uniqueName="speedFactor" name="speedFactor">
      <xmlColumnPr mapId="1" xpath="/tripinfos/tripinfo/@speedFactor" xmlDataType="double"/>
    </tableColumn>
    <tableColumn id="21" xr3:uid="{D9DB299A-C70B-41D4-AE9A-72A6E3B09CE5}" uniqueName="vaporized" name="vaporized">
      <xmlColumnPr mapId="1" xpath="/tripinfos/tripinfo/@vaporized" xmlDataType="string"/>
    </tableColumn>
    <tableColumn id="22" xr3:uid="{4AD1879E-522A-423D-A98B-C4B74533F3CF}" uniqueName="22" name="列1" dataDxfId="0">
      <calculatedColumnFormula>AVERAGE(M:M)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tabSelected="1" topLeftCell="J1" workbookViewId="0">
      <selection activeCell="V5" sqref="V5"/>
    </sheetView>
  </sheetViews>
  <sheetFormatPr defaultRowHeight="18.75" x14ac:dyDescent="0.4"/>
  <cols>
    <col min="1" max="1" width="5.375" bestFit="1" customWidth="1"/>
    <col min="2" max="2" width="9.75" bestFit="1" customWidth="1"/>
    <col min="3" max="3" width="14.5" bestFit="1" customWidth="1"/>
    <col min="4" max="4" width="13.25" bestFit="1" customWidth="1"/>
    <col min="5" max="5" width="15.875" bestFit="1" customWidth="1"/>
    <col min="6" max="6" width="15.25" bestFit="1" customWidth="1"/>
    <col min="7" max="7" width="9.5" bestFit="1" customWidth="1"/>
    <col min="8" max="8" width="14.125" bestFit="1" customWidth="1"/>
    <col min="9" max="9" width="12.875" bestFit="1" customWidth="1"/>
    <col min="10" max="10" width="15.625" bestFit="1" customWidth="1"/>
    <col min="11" max="11" width="11.375" bestFit="1" customWidth="1"/>
    <col min="12" max="12" width="15.25" bestFit="1" customWidth="1"/>
    <col min="13" max="13" width="15.375" bestFit="1" customWidth="1"/>
    <col min="14" max="14" width="16.375" bestFit="1" customWidth="1"/>
    <col min="15" max="15" width="12.375" bestFit="1" customWidth="1"/>
    <col min="16" max="16" width="12.125" bestFit="1" customWidth="1"/>
    <col min="17" max="17" width="13.25" bestFit="1" customWidth="1"/>
    <col min="18" max="18" width="10.625" bestFit="1" customWidth="1"/>
    <col min="19" max="19" width="20.5" bestFit="1" customWidth="1"/>
    <col min="20" max="20" width="15.625" bestFit="1" customWidth="1"/>
    <col min="21" max="21" width="12.5" bestFit="1" customWidth="1"/>
  </cols>
  <sheetData>
    <row r="1" spans="1:2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166</v>
      </c>
    </row>
    <row r="2" spans="1:22" x14ac:dyDescent="0.4">
      <c r="A2">
        <v>8</v>
      </c>
      <c r="B2">
        <v>16</v>
      </c>
      <c r="C2" s="1" t="s">
        <v>21</v>
      </c>
      <c r="D2">
        <v>5.0999999999999996</v>
      </c>
      <c r="E2">
        <v>0</v>
      </c>
      <c r="F2">
        <v>0</v>
      </c>
      <c r="G2">
        <v>29</v>
      </c>
      <c r="H2" s="1" t="s">
        <v>24</v>
      </c>
      <c r="I2">
        <v>29.56</v>
      </c>
      <c r="J2">
        <v>12.75</v>
      </c>
      <c r="K2">
        <v>13</v>
      </c>
      <c r="L2">
        <v>93.66</v>
      </c>
      <c r="M2">
        <v>0</v>
      </c>
      <c r="N2">
        <v>0</v>
      </c>
      <c r="O2">
        <v>0</v>
      </c>
      <c r="P2">
        <v>4.75</v>
      </c>
      <c r="Q2">
        <v>0</v>
      </c>
      <c r="R2" s="1" t="s">
        <v>65</v>
      </c>
      <c r="S2" s="1" t="s">
        <v>165</v>
      </c>
      <c r="T2">
        <v>0.94</v>
      </c>
      <c r="U2" s="1"/>
      <c r="V2">
        <f t="shared" ref="V2:V33" si="0">AVERAGE(M:M)</f>
        <v>47.4</v>
      </c>
    </row>
    <row r="3" spans="1:22" x14ac:dyDescent="0.4">
      <c r="A3">
        <v>5</v>
      </c>
      <c r="B3">
        <v>10</v>
      </c>
      <c r="C3" s="1" t="s">
        <v>22</v>
      </c>
      <c r="D3">
        <v>5.0999999999999996</v>
      </c>
      <c r="E3">
        <v>0</v>
      </c>
      <c r="F3">
        <v>0</v>
      </c>
      <c r="G3">
        <v>33</v>
      </c>
      <c r="H3" s="1" t="s">
        <v>54</v>
      </c>
      <c r="I3">
        <v>21.59</v>
      </c>
      <c r="J3">
        <v>10.210000000000001</v>
      </c>
      <c r="K3">
        <v>23</v>
      </c>
      <c r="L3">
        <v>186.75</v>
      </c>
      <c r="M3">
        <v>0</v>
      </c>
      <c r="N3">
        <v>0</v>
      </c>
      <c r="O3">
        <v>0</v>
      </c>
      <c r="P3">
        <v>5.3</v>
      </c>
      <c r="Q3">
        <v>0</v>
      </c>
      <c r="R3" s="1" t="s">
        <v>66</v>
      </c>
      <c r="S3" s="1" t="s">
        <v>165</v>
      </c>
      <c r="T3">
        <v>0.83</v>
      </c>
      <c r="U3" s="1"/>
      <c r="V3">
        <f t="shared" si="0"/>
        <v>47.4</v>
      </c>
    </row>
    <row r="4" spans="1:22" x14ac:dyDescent="0.4">
      <c r="A4">
        <v>9</v>
      </c>
      <c r="B4">
        <v>18</v>
      </c>
      <c r="C4" s="1" t="s">
        <v>23</v>
      </c>
      <c r="D4">
        <v>5.0999999999999996</v>
      </c>
      <c r="E4">
        <v>0</v>
      </c>
      <c r="F4">
        <v>0</v>
      </c>
      <c r="G4">
        <v>53</v>
      </c>
      <c r="H4" s="1" t="s">
        <v>46</v>
      </c>
      <c r="I4">
        <v>33.94</v>
      </c>
      <c r="J4">
        <v>11.02</v>
      </c>
      <c r="K4">
        <v>35</v>
      </c>
      <c r="L4">
        <v>273.77999999999997</v>
      </c>
      <c r="M4">
        <v>0</v>
      </c>
      <c r="N4">
        <v>0</v>
      </c>
      <c r="O4">
        <v>0</v>
      </c>
      <c r="P4">
        <v>9.08</v>
      </c>
      <c r="Q4">
        <v>0</v>
      </c>
      <c r="R4" s="1" t="s">
        <v>67</v>
      </c>
      <c r="S4" s="1" t="s">
        <v>165</v>
      </c>
      <c r="T4">
        <v>0.86</v>
      </c>
      <c r="U4" s="1"/>
      <c r="V4">
        <f t="shared" si="0"/>
        <v>47.4</v>
      </c>
    </row>
    <row r="5" spans="1:22" x14ac:dyDescent="0.4">
      <c r="A5">
        <v>7</v>
      </c>
      <c r="B5">
        <v>15</v>
      </c>
      <c r="C5" s="1" t="s">
        <v>24</v>
      </c>
      <c r="D5">
        <v>5.0999999999999996</v>
      </c>
      <c r="E5">
        <v>0</v>
      </c>
      <c r="F5">
        <v>1</v>
      </c>
      <c r="G5">
        <v>59</v>
      </c>
      <c r="H5" s="1" t="s">
        <v>26</v>
      </c>
      <c r="I5">
        <v>59.98</v>
      </c>
      <c r="J5">
        <v>11.09</v>
      </c>
      <c r="K5">
        <v>44</v>
      </c>
      <c r="L5">
        <v>172.01</v>
      </c>
      <c r="M5">
        <v>17</v>
      </c>
      <c r="N5">
        <v>1</v>
      </c>
      <c r="O5">
        <v>0</v>
      </c>
      <c r="P5">
        <v>28.31</v>
      </c>
      <c r="Q5">
        <v>0</v>
      </c>
      <c r="R5" s="1" t="s">
        <v>68</v>
      </c>
      <c r="S5" s="1" t="s">
        <v>165</v>
      </c>
      <c r="T5">
        <v>0.89</v>
      </c>
      <c r="U5" s="1"/>
      <c r="V5">
        <f t="shared" si="0"/>
        <v>47.4</v>
      </c>
    </row>
    <row r="6" spans="1:22" x14ac:dyDescent="0.4">
      <c r="A6">
        <v>25</v>
      </c>
      <c r="B6">
        <v>50</v>
      </c>
      <c r="C6" s="1" t="s">
        <v>25</v>
      </c>
      <c r="D6">
        <v>5.0999999999999996</v>
      </c>
      <c r="E6">
        <v>0</v>
      </c>
      <c r="F6">
        <v>0</v>
      </c>
      <c r="G6">
        <v>65</v>
      </c>
      <c r="H6" s="1" t="s">
        <v>48</v>
      </c>
      <c r="I6">
        <v>39.119999999999997</v>
      </c>
      <c r="J6">
        <v>11.68</v>
      </c>
      <c r="K6">
        <v>15</v>
      </c>
      <c r="L6">
        <v>108.27</v>
      </c>
      <c r="M6">
        <v>0</v>
      </c>
      <c r="N6">
        <v>0</v>
      </c>
      <c r="O6">
        <v>0</v>
      </c>
      <c r="P6">
        <v>4.21</v>
      </c>
      <c r="Q6">
        <v>0</v>
      </c>
      <c r="R6" s="1" t="s">
        <v>69</v>
      </c>
      <c r="S6" s="1" t="s">
        <v>165</v>
      </c>
      <c r="T6">
        <v>0.87</v>
      </c>
      <c r="U6" s="1"/>
      <c r="V6">
        <f t="shared" si="0"/>
        <v>47.4</v>
      </c>
    </row>
    <row r="7" spans="1:22" x14ac:dyDescent="0.4">
      <c r="A7">
        <v>37</v>
      </c>
      <c r="B7">
        <v>74</v>
      </c>
      <c r="C7" s="1" t="s">
        <v>26</v>
      </c>
      <c r="D7">
        <v>5.0999999999999996</v>
      </c>
      <c r="E7">
        <v>0</v>
      </c>
      <c r="F7">
        <v>0</v>
      </c>
      <c r="G7">
        <v>89</v>
      </c>
      <c r="H7" s="1" t="s">
        <v>55</v>
      </c>
      <c r="I7">
        <v>25.15</v>
      </c>
      <c r="J7">
        <v>15.15</v>
      </c>
      <c r="K7">
        <v>15</v>
      </c>
      <c r="L7">
        <v>136.08000000000001</v>
      </c>
      <c r="M7">
        <v>0</v>
      </c>
      <c r="N7">
        <v>0</v>
      </c>
      <c r="O7">
        <v>0</v>
      </c>
      <c r="P7">
        <v>5.51</v>
      </c>
      <c r="Q7">
        <v>0</v>
      </c>
      <c r="R7" s="1" t="s">
        <v>70</v>
      </c>
      <c r="S7" s="1" t="s">
        <v>165</v>
      </c>
      <c r="T7">
        <v>1.18</v>
      </c>
      <c r="U7" s="1"/>
      <c r="V7">
        <f t="shared" si="0"/>
        <v>47.4</v>
      </c>
    </row>
    <row r="8" spans="1:22" x14ac:dyDescent="0.4">
      <c r="A8">
        <v>17</v>
      </c>
      <c r="B8">
        <v>34</v>
      </c>
      <c r="C8" s="1" t="s">
        <v>24</v>
      </c>
      <c r="D8">
        <v>5.0999999999999996</v>
      </c>
      <c r="E8">
        <v>0</v>
      </c>
      <c r="F8">
        <v>0</v>
      </c>
      <c r="G8">
        <v>95</v>
      </c>
      <c r="H8" s="1" t="s">
        <v>44</v>
      </c>
      <c r="I8">
        <v>27.1</v>
      </c>
      <c r="J8">
        <v>11.75</v>
      </c>
      <c r="K8">
        <v>61</v>
      </c>
      <c r="L8">
        <v>252.21</v>
      </c>
      <c r="M8">
        <v>14</v>
      </c>
      <c r="N8">
        <v>2</v>
      </c>
      <c r="O8">
        <v>0</v>
      </c>
      <c r="P8">
        <v>38.49</v>
      </c>
      <c r="Q8">
        <v>0</v>
      </c>
      <c r="R8" s="1" t="s">
        <v>71</v>
      </c>
      <c r="S8" s="1" t="s">
        <v>165</v>
      </c>
      <c r="T8">
        <v>0.94</v>
      </c>
      <c r="U8" s="1"/>
      <c r="V8">
        <f t="shared" si="0"/>
        <v>47.4</v>
      </c>
    </row>
    <row r="9" spans="1:22" x14ac:dyDescent="0.4">
      <c r="A9">
        <v>0</v>
      </c>
      <c r="B9">
        <v>0</v>
      </c>
      <c r="C9" s="1" t="s">
        <v>27</v>
      </c>
      <c r="D9">
        <v>5.0999999999999996</v>
      </c>
      <c r="E9">
        <v>0</v>
      </c>
      <c r="F9">
        <v>0</v>
      </c>
      <c r="G9">
        <v>96</v>
      </c>
      <c r="H9" s="1" t="s">
        <v>56</v>
      </c>
      <c r="I9">
        <v>30.33</v>
      </c>
      <c r="J9">
        <v>13.57</v>
      </c>
      <c r="K9">
        <v>96</v>
      </c>
      <c r="L9">
        <v>198.04</v>
      </c>
      <c r="M9">
        <v>63</v>
      </c>
      <c r="N9">
        <v>2</v>
      </c>
      <c r="O9">
        <v>0</v>
      </c>
      <c r="P9">
        <v>80.28</v>
      </c>
      <c r="Q9">
        <v>0</v>
      </c>
      <c r="R9" s="1" t="s">
        <v>72</v>
      </c>
      <c r="S9" s="1" t="s">
        <v>165</v>
      </c>
      <c r="T9">
        <v>1.06</v>
      </c>
      <c r="U9" s="1"/>
      <c r="V9">
        <f t="shared" si="0"/>
        <v>47.4</v>
      </c>
    </row>
    <row r="10" spans="1:22" x14ac:dyDescent="0.4">
      <c r="A10">
        <v>21</v>
      </c>
      <c r="B10">
        <v>42</v>
      </c>
      <c r="C10" s="1" t="s">
        <v>28</v>
      </c>
      <c r="D10">
        <v>5.0999999999999996</v>
      </c>
      <c r="E10">
        <v>0</v>
      </c>
      <c r="F10">
        <v>0</v>
      </c>
      <c r="G10">
        <v>96</v>
      </c>
      <c r="H10" s="1" t="s">
        <v>38</v>
      </c>
      <c r="I10">
        <v>63.43</v>
      </c>
      <c r="J10">
        <v>7.93</v>
      </c>
      <c r="K10">
        <v>54</v>
      </c>
      <c r="L10">
        <v>224.48</v>
      </c>
      <c r="M10">
        <v>6</v>
      </c>
      <c r="N10">
        <v>2</v>
      </c>
      <c r="O10">
        <v>0</v>
      </c>
      <c r="P10">
        <v>36.619999999999997</v>
      </c>
      <c r="Q10">
        <v>0</v>
      </c>
      <c r="R10" s="1" t="s">
        <v>73</v>
      </c>
      <c r="S10" s="1" t="s">
        <v>165</v>
      </c>
      <c r="T10">
        <v>1.01</v>
      </c>
      <c r="U10" s="1"/>
      <c r="V10">
        <f t="shared" si="0"/>
        <v>47.4</v>
      </c>
    </row>
    <row r="11" spans="1:22" x14ac:dyDescent="0.4">
      <c r="A11">
        <v>39</v>
      </c>
      <c r="B11">
        <v>78</v>
      </c>
      <c r="C11" s="1" t="s">
        <v>29</v>
      </c>
      <c r="D11">
        <v>5.0999999999999996</v>
      </c>
      <c r="E11">
        <v>0</v>
      </c>
      <c r="F11">
        <v>0</v>
      </c>
      <c r="G11">
        <v>96</v>
      </c>
      <c r="H11" s="1" t="s">
        <v>29</v>
      </c>
      <c r="I11">
        <v>33.94</v>
      </c>
      <c r="J11">
        <v>9.19</v>
      </c>
      <c r="K11">
        <v>18</v>
      </c>
      <c r="L11">
        <v>28.84</v>
      </c>
      <c r="M11">
        <v>9</v>
      </c>
      <c r="N11">
        <v>1</v>
      </c>
      <c r="O11">
        <v>0</v>
      </c>
      <c r="P11">
        <v>15.04</v>
      </c>
      <c r="Q11">
        <v>0</v>
      </c>
      <c r="R11" s="1" t="s">
        <v>74</v>
      </c>
      <c r="S11" s="1" t="s">
        <v>165</v>
      </c>
      <c r="T11">
        <v>0.9</v>
      </c>
      <c r="U11" s="1"/>
      <c r="V11">
        <f t="shared" si="0"/>
        <v>47.4</v>
      </c>
    </row>
    <row r="12" spans="1:22" x14ac:dyDescent="0.4">
      <c r="A12">
        <v>15</v>
      </c>
      <c r="B12">
        <v>30</v>
      </c>
      <c r="C12" s="1" t="s">
        <v>23</v>
      </c>
      <c r="D12">
        <v>5.0999999999999996</v>
      </c>
      <c r="E12">
        <v>0</v>
      </c>
      <c r="F12">
        <v>0</v>
      </c>
      <c r="G12">
        <v>98</v>
      </c>
      <c r="H12" s="1" t="s">
        <v>36</v>
      </c>
      <c r="I12">
        <v>58.45</v>
      </c>
      <c r="J12">
        <v>11.92</v>
      </c>
      <c r="K12">
        <v>68</v>
      </c>
      <c r="L12">
        <v>159.87</v>
      </c>
      <c r="M12">
        <v>43</v>
      </c>
      <c r="N12">
        <v>1</v>
      </c>
      <c r="O12">
        <v>0</v>
      </c>
      <c r="P12">
        <v>53.34</v>
      </c>
      <c r="Q12">
        <v>0</v>
      </c>
      <c r="R12" s="1" t="s">
        <v>75</v>
      </c>
      <c r="S12" s="1" t="s">
        <v>165</v>
      </c>
      <c r="T12">
        <v>0.93</v>
      </c>
      <c r="U12" s="1"/>
      <c r="V12">
        <f t="shared" si="0"/>
        <v>47.4</v>
      </c>
    </row>
    <row r="13" spans="1:22" x14ac:dyDescent="0.4">
      <c r="A13">
        <v>4</v>
      </c>
      <c r="B13">
        <v>8</v>
      </c>
      <c r="C13" s="1" t="s">
        <v>21</v>
      </c>
      <c r="D13">
        <v>5.0999999999999996</v>
      </c>
      <c r="E13">
        <v>0</v>
      </c>
      <c r="F13">
        <v>0</v>
      </c>
      <c r="G13">
        <v>99</v>
      </c>
      <c r="H13" s="1" t="s">
        <v>42</v>
      </c>
      <c r="I13">
        <v>58.81</v>
      </c>
      <c r="J13">
        <v>13.93</v>
      </c>
      <c r="K13">
        <v>91</v>
      </c>
      <c r="L13">
        <v>359.13</v>
      </c>
      <c r="M13">
        <v>37</v>
      </c>
      <c r="N13">
        <v>2</v>
      </c>
      <c r="O13">
        <v>0</v>
      </c>
      <c r="P13">
        <v>62.98</v>
      </c>
      <c r="Q13">
        <v>0</v>
      </c>
      <c r="R13" s="1" t="s">
        <v>76</v>
      </c>
      <c r="S13" s="1" t="s">
        <v>165</v>
      </c>
      <c r="T13">
        <v>1.03</v>
      </c>
      <c r="U13" s="1"/>
      <c r="V13">
        <f t="shared" si="0"/>
        <v>47.4</v>
      </c>
    </row>
    <row r="14" spans="1:22" x14ac:dyDescent="0.4">
      <c r="A14">
        <v>19</v>
      </c>
      <c r="B14">
        <v>42</v>
      </c>
      <c r="C14" s="1" t="s">
        <v>29</v>
      </c>
      <c r="D14">
        <v>5.0999999999999996</v>
      </c>
      <c r="E14">
        <v>0</v>
      </c>
      <c r="F14">
        <v>4</v>
      </c>
      <c r="G14">
        <v>100</v>
      </c>
      <c r="H14" s="1" t="s">
        <v>26</v>
      </c>
      <c r="I14">
        <v>59.98</v>
      </c>
      <c r="J14">
        <v>15.13</v>
      </c>
      <c r="K14">
        <v>58</v>
      </c>
      <c r="L14">
        <v>103.14</v>
      </c>
      <c r="M14">
        <v>41</v>
      </c>
      <c r="N14">
        <v>1</v>
      </c>
      <c r="O14">
        <v>0</v>
      </c>
      <c r="P14">
        <v>50.64</v>
      </c>
      <c r="Q14">
        <v>0</v>
      </c>
      <c r="R14" s="1" t="s">
        <v>77</v>
      </c>
      <c r="S14" s="1" t="s">
        <v>165</v>
      </c>
      <c r="T14">
        <v>1.1599999999999999</v>
      </c>
      <c r="U14" s="1"/>
      <c r="V14">
        <f t="shared" si="0"/>
        <v>47.4</v>
      </c>
    </row>
    <row r="15" spans="1:22" x14ac:dyDescent="0.4">
      <c r="A15">
        <v>12</v>
      </c>
      <c r="B15">
        <v>24</v>
      </c>
      <c r="C15" s="1" t="s">
        <v>28</v>
      </c>
      <c r="D15">
        <v>5.0999999999999996</v>
      </c>
      <c r="E15">
        <v>0</v>
      </c>
      <c r="F15">
        <v>0</v>
      </c>
      <c r="G15">
        <v>102</v>
      </c>
      <c r="H15" s="1" t="s">
        <v>21</v>
      </c>
      <c r="I15">
        <v>54.42</v>
      </c>
      <c r="J15">
        <v>5.24</v>
      </c>
      <c r="K15">
        <v>78</v>
      </c>
      <c r="L15">
        <v>220.91</v>
      </c>
      <c r="M15">
        <v>22</v>
      </c>
      <c r="N15">
        <v>3</v>
      </c>
      <c r="O15">
        <v>0</v>
      </c>
      <c r="P15">
        <v>61.38</v>
      </c>
      <c r="Q15">
        <v>0</v>
      </c>
      <c r="R15" s="1" t="s">
        <v>78</v>
      </c>
      <c r="S15" s="1" t="s">
        <v>165</v>
      </c>
      <c r="T15">
        <v>1.05</v>
      </c>
      <c r="U15" s="1"/>
      <c r="V15">
        <f t="shared" si="0"/>
        <v>47.4</v>
      </c>
    </row>
    <row r="16" spans="1:22" x14ac:dyDescent="0.4">
      <c r="A16">
        <v>35</v>
      </c>
      <c r="B16">
        <v>70</v>
      </c>
      <c r="C16" s="1" t="s">
        <v>30</v>
      </c>
      <c r="D16">
        <v>5.0999999999999996</v>
      </c>
      <c r="E16">
        <v>0</v>
      </c>
      <c r="F16">
        <v>0</v>
      </c>
      <c r="G16">
        <v>105</v>
      </c>
      <c r="H16" s="1" t="s">
        <v>56</v>
      </c>
      <c r="I16">
        <v>30.33</v>
      </c>
      <c r="J16">
        <v>13.65</v>
      </c>
      <c r="K16">
        <v>35</v>
      </c>
      <c r="L16">
        <v>162.16999999999999</v>
      </c>
      <c r="M16">
        <v>10</v>
      </c>
      <c r="N16">
        <v>1</v>
      </c>
      <c r="O16">
        <v>0</v>
      </c>
      <c r="P16">
        <v>22.73</v>
      </c>
      <c r="Q16">
        <v>0</v>
      </c>
      <c r="R16" s="1" t="s">
        <v>79</v>
      </c>
      <c r="S16" s="1" t="s">
        <v>165</v>
      </c>
      <c r="T16">
        <v>1.02</v>
      </c>
      <c r="U16" s="1"/>
      <c r="V16">
        <f t="shared" si="0"/>
        <v>47.4</v>
      </c>
    </row>
    <row r="17" spans="1:22" x14ac:dyDescent="0.4">
      <c r="A17">
        <v>1</v>
      </c>
      <c r="B17">
        <v>2</v>
      </c>
      <c r="C17" s="1" t="s">
        <v>31</v>
      </c>
      <c r="D17">
        <v>5.0999999999999996</v>
      </c>
      <c r="E17">
        <v>0</v>
      </c>
      <c r="F17">
        <v>0</v>
      </c>
      <c r="G17">
        <v>106</v>
      </c>
      <c r="H17" s="1" t="s">
        <v>57</v>
      </c>
      <c r="I17">
        <v>36.04</v>
      </c>
      <c r="J17">
        <v>12.13</v>
      </c>
      <c r="K17">
        <v>104</v>
      </c>
      <c r="L17">
        <v>221.19</v>
      </c>
      <c r="M17">
        <v>61</v>
      </c>
      <c r="N17">
        <v>4</v>
      </c>
      <c r="O17">
        <v>0</v>
      </c>
      <c r="P17">
        <v>84.68</v>
      </c>
      <c r="Q17">
        <v>0</v>
      </c>
      <c r="R17" s="1" t="s">
        <v>80</v>
      </c>
      <c r="S17" s="1" t="s">
        <v>165</v>
      </c>
      <c r="T17">
        <v>0.94</v>
      </c>
      <c r="U17" s="1"/>
      <c r="V17">
        <f t="shared" si="0"/>
        <v>47.4</v>
      </c>
    </row>
    <row r="18" spans="1:22" x14ac:dyDescent="0.4">
      <c r="A18">
        <v>24</v>
      </c>
      <c r="B18">
        <v>48</v>
      </c>
      <c r="C18" s="1" t="s">
        <v>32</v>
      </c>
      <c r="D18">
        <v>5.0999999999999996</v>
      </c>
      <c r="E18">
        <v>0</v>
      </c>
      <c r="F18">
        <v>0</v>
      </c>
      <c r="G18">
        <v>108</v>
      </c>
      <c r="H18" s="1" t="s">
        <v>58</v>
      </c>
      <c r="I18">
        <v>16.21</v>
      </c>
      <c r="J18">
        <v>10.7</v>
      </c>
      <c r="K18">
        <v>60</v>
      </c>
      <c r="L18">
        <v>206.71</v>
      </c>
      <c r="M18">
        <v>33</v>
      </c>
      <c r="N18">
        <v>1</v>
      </c>
      <c r="O18">
        <v>0</v>
      </c>
      <c r="P18">
        <v>41.9</v>
      </c>
      <c r="Q18">
        <v>0</v>
      </c>
      <c r="R18" s="1" t="s">
        <v>81</v>
      </c>
      <c r="S18" s="1" t="s">
        <v>165</v>
      </c>
      <c r="T18">
        <v>0.83</v>
      </c>
      <c r="U18" s="1"/>
      <c r="V18">
        <f t="shared" si="0"/>
        <v>47.4</v>
      </c>
    </row>
    <row r="19" spans="1:22" x14ac:dyDescent="0.4">
      <c r="A19">
        <v>26</v>
      </c>
      <c r="B19">
        <v>52</v>
      </c>
      <c r="C19" s="1" t="s">
        <v>32</v>
      </c>
      <c r="D19">
        <v>5.0999999999999996</v>
      </c>
      <c r="E19">
        <v>0</v>
      </c>
      <c r="F19">
        <v>0</v>
      </c>
      <c r="G19">
        <v>113</v>
      </c>
      <c r="H19" s="1" t="s">
        <v>59</v>
      </c>
      <c r="I19">
        <v>18.28</v>
      </c>
      <c r="J19">
        <v>10.95</v>
      </c>
      <c r="K19">
        <v>61</v>
      </c>
      <c r="L19">
        <v>133.38999999999999</v>
      </c>
      <c r="M19">
        <v>36</v>
      </c>
      <c r="N19">
        <v>2</v>
      </c>
      <c r="O19">
        <v>0</v>
      </c>
      <c r="P19">
        <v>49.5</v>
      </c>
      <c r="Q19">
        <v>0</v>
      </c>
      <c r="R19" s="1" t="s">
        <v>82</v>
      </c>
      <c r="S19" s="1" t="s">
        <v>165</v>
      </c>
      <c r="T19">
        <v>0.92</v>
      </c>
      <c r="U19" s="1"/>
      <c r="V19">
        <f t="shared" si="0"/>
        <v>47.4</v>
      </c>
    </row>
    <row r="20" spans="1:22" x14ac:dyDescent="0.4">
      <c r="A20">
        <v>41</v>
      </c>
      <c r="B20">
        <v>82</v>
      </c>
      <c r="C20" s="1" t="s">
        <v>33</v>
      </c>
      <c r="D20">
        <v>5.0999999999999996</v>
      </c>
      <c r="E20">
        <v>0</v>
      </c>
      <c r="F20">
        <v>0</v>
      </c>
      <c r="G20">
        <v>115</v>
      </c>
      <c r="H20" s="1" t="s">
        <v>53</v>
      </c>
      <c r="I20">
        <v>38.72</v>
      </c>
      <c r="J20">
        <v>12.03</v>
      </c>
      <c r="K20">
        <v>33</v>
      </c>
      <c r="L20">
        <v>229.49</v>
      </c>
      <c r="M20">
        <v>3</v>
      </c>
      <c r="N20">
        <v>1</v>
      </c>
      <c r="O20">
        <v>0</v>
      </c>
      <c r="P20">
        <v>13.87</v>
      </c>
      <c r="Q20">
        <v>0</v>
      </c>
      <c r="R20" s="1" t="s">
        <v>83</v>
      </c>
      <c r="S20" s="1" t="s">
        <v>165</v>
      </c>
      <c r="T20">
        <v>0.96</v>
      </c>
      <c r="U20" s="1"/>
      <c r="V20">
        <f t="shared" si="0"/>
        <v>47.4</v>
      </c>
    </row>
    <row r="21" spans="1:22" x14ac:dyDescent="0.4">
      <c r="A21">
        <v>11</v>
      </c>
      <c r="B21">
        <v>22</v>
      </c>
      <c r="C21" s="1" t="s">
        <v>30</v>
      </c>
      <c r="D21">
        <v>5.0999999999999996</v>
      </c>
      <c r="E21">
        <v>0</v>
      </c>
      <c r="F21">
        <v>0</v>
      </c>
      <c r="G21">
        <v>116</v>
      </c>
      <c r="H21" s="1" t="s">
        <v>60</v>
      </c>
      <c r="I21">
        <v>42.32</v>
      </c>
      <c r="J21">
        <v>13.51</v>
      </c>
      <c r="K21">
        <v>94</v>
      </c>
      <c r="L21">
        <v>320.48</v>
      </c>
      <c r="M21">
        <v>52</v>
      </c>
      <c r="N21">
        <v>2</v>
      </c>
      <c r="O21">
        <v>0</v>
      </c>
      <c r="P21">
        <v>70.540000000000006</v>
      </c>
      <c r="Q21">
        <v>0</v>
      </c>
      <c r="R21" s="1" t="s">
        <v>84</v>
      </c>
      <c r="S21" s="1" t="s">
        <v>165</v>
      </c>
      <c r="T21">
        <v>1.03</v>
      </c>
      <c r="U21" s="1"/>
      <c r="V21">
        <f t="shared" si="0"/>
        <v>47.4</v>
      </c>
    </row>
    <row r="22" spans="1:22" x14ac:dyDescent="0.4">
      <c r="A22">
        <v>55</v>
      </c>
      <c r="B22">
        <v>110</v>
      </c>
      <c r="C22" s="1" t="s">
        <v>34</v>
      </c>
      <c r="D22">
        <v>5.0999999999999996</v>
      </c>
      <c r="E22">
        <v>0</v>
      </c>
      <c r="F22">
        <v>0</v>
      </c>
      <c r="G22">
        <v>125</v>
      </c>
      <c r="H22" s="1" t="s">
        <v>34</v>
      </c>
      <c r="I22">
        <v>63.43</v>
      </c>
      <c r="J22">
        <v>7.36</v>
      </c>
      <c r="K22">
        <v>15</v>
      </c>
      <c r="L22">
        <v>58.33</v>
      </c>
      <c r="M22">
        <v>1</v>
      </c>
      <c r="N22">
        <v>1</v>
      </c>
      <c r="O22">
        <v>0</v>
      </c>
      <c r="P22">
        <v>10.69</v>
      </c>
      <c r="Q22">
        <v>0</v>
      </c>
      <c r="R22" s="1" t="s">
        <v>85</v>
      </c>
      <c r="S22" s="1" t="s">
        <v>165</v>
      </c>
      <c r="T22">
        <v>1</v>
      </c>
      <c r="U22" s="1"/>
      <c r="V22">
        <f t="shared" si="0"/>
        <v>47.4</v>
      </c>
    </row>
    <row r="23" spans="1:22" x14ac:dyDescent="0.4">
      <c r="A23">
        <v>53</v>
      </c>
      <c r="B23">
        <v>106</v>
      </c>
      <c r="C23" s="1" t="s">
        <v>35</v>
      </c>
      <c r="D23">
        <v>5.0999999999999996</v>
      </c>
      <c r="E23">
        <v>0</v>
      </c>
      <c r="F23">
        <v>0</v>
      </c>
      <c r="G23">
        <v>132</v>
      </c>
      <c r="H23" s="1" t="s">
        <v>61</v>
      </c>
      <c r="I23">
        <v>27.85</v>
      </c>
      <c r="J23">
        <v>12.87</v>
      </c>
      <c r="K23">
        <v>26</v>
      </c>
      <c r="L23">
        <v>152.54</v>
      </c>
      <c r="M23">
        <v>1</v>
      </c>
      <c r="N23">
        <v>1</v>
      </c>
      <c r="O23">
        <v>0</v>
      </c>
      <c r="P23">
        <v>14.98</v>
      </c>
      <c r="Q23">
        <v>0</v>
      </c>
      <c r="R23" s="1" t="s">
        <v>86</v>
      </c>
      <c r="S23" s="1" t="s">
        <v>165</v>
      </c>
      <c r="T23">
        <v>1.1000000000000001</v>
      </c>
      <c r="U23" s="1"/>
      <c r="V23">
        <f t="shared" si="0"/>
        <v>47.4</v>
      </c>
    </row>
    <row r="24" spans="1:22" x14ac:dyDescent="0.4">
      <c r="A24">
        <v>28</v>
      </c>
      <c r="B24">
        <v>56</v>
      </c>
      <c r="C24" s="1" t="s">
        <v>25</v>
      </c>
      <c r="D24">
        <v>5.0999999999999996</v>
      </c>
      <c r="E24">
        <v>0</v>
      </c>
      <c r="F24">
        <v>0</v>
      </c>
      <c r="G24">
        <v>138</v>
      </c>
      <c r="H24" s="1" t="s">
        <v>31</v>
      </c>
      <c r="I24">
        <v>58.45</v>
      </c>
      <c r="J24">
        <v>5.87</v>
      </c>
      <c r="K24">
        <v>82</v>
      </c>
      <c r="L24">
        <v>296.75</v>
      </c>
      <c r="M24">
        <v>40</v>
      </c>
      <c r="N24">
        <v>2</v>
      </c>
      <c r="O24">
        <v>0</v>
      </c>
      <c r="P24">
        <v>60.59</v>
      </c>
      <c r="Q24">
        <v>0</v>
      </c>
      <c r="R24" s="1" t="s">
        <v>87</v>
      </c>
      <c r="S24" s="1" t="s">
        <v>165</v>
      </c>
      <c r="T24">
        <v>1.1299999999999999</v>
      </c>
      <c r="U24" s="1"/>
      <c r="V24">
        <f t="shared" si="0"/>
        <v>47.4</v>
      </c>
    </row>
    <row r="25" spans="1:22" x14ac:dyDescent="0.4">
      <c r="A25">
        <v>33</v>
      </c>
      <c r="B25">
        <v>66</v>
      </c>
      <c r="C25" s="1" t="s">
        <v>36</v>
      </c>
      <c r="D25">
        <v>5.0999999999999996</v>
      </c>
      <c r="E25">
        <v>0</v>
      </c>
      <c r="F25">
        <v>0</v>
      </c>
      <c r="G25">
        <v>138</v>
      </c>
      <c r="H25" s="1" t="s">
        <v>46</v>
      </c>
      <c r="I25">
        <v>33.94</v>
      </c>
      <c r="J25">
        <v>5.78</v>
      </c>
      <c r="K25">
        <v>72</v>
      </c>
      <c r="L25">
        <v>286.42</v>
      </c>
      <c r="M25">
        <v>30</v>
      </c>
      <c r="N25">
        <v>3</v>
      </c>
      <c r="O25">
        <v>0</v>
      </c>
      <c r="P25">
        <v>52.57</v>
      </c>
      <c r="Q25">
        <v>0</v>
      </c>
      <c r="R25" s="1" t="s">
        <v>88</v>
      </c>
      <c r="S25" s="1" t="s">
        <v>165</v>
      </c>
      <c r="T25">
        <v>1.17</v>
      </c>
      <c r="U25" s="1"/>
      <c r="V25">
        <f t="shared" si="0"/>
        <v>47.4</v>
      </c>
    </row>
    <row r="26" spans="1:22" x14ac:dyDescent="0.4">
      <c r="A26">
        <v>47</v>
      </c>
      <c r="B26">
        <v>94</v>
      </c>
      <c r="C26" s="1" t="s">
        <v>34</v>
      </c>
      <c r="D26">
        <v>5.0999999999999996</v>
      </c>
      <c r="E26">
        <v>0</v>
      </c>
      <c r="F26">
        <v>0</v>
      </c>
      <c r="G26">
        <v>138</v>
      </c>
      <c r="H26" s="1" t="s">
        <v>40</v>
      </c>
      <c r="I26">
        <v>58.81</v>
      </c>
      <c r="J26">
        <v>5.24</v>
      </c>
      <c r="K26">
        <v>44</v>
      </c>
      <c r="L26">
        <v>131.69999999999999</v>
      </c>
      <c r="M26">
        <v>19</v>
      </c>
      <c r="N26">
        <v>2</v>
      </c>
      <c r="O26">
        <v>0</v>
      </c>
      <c r="P26">
        <v>33.33</v>
      </c>
      <c r="Q26">
        <v>0</v>
      </c>
      <c r="R26" s="1" t="s">
        <v>89</v>
      </c>
      <c r="S26" s="1" t="s">
        <v>165</v>
      </c>
      <c r="T26">
        <v>0.9</v>
      </c>
      <c r="U26" s="1"/>
      <c r="V26">
        <f t="shared" si="0"/>
        <v>47.4</v>
      </c>
    </row>
    <row r="27" spans="1:22" x14ac:dyDescent="0.4">
      <c r="A27">
        <v>18</v>
      </c>
      <c r="B27">
        <v>36</v>
      </c>
      <c r="C27" s="1" t="s">
        <v>37</v>
      </c>
      <c r="D27">
        <v>5.0999999999999996</v>
      </c>
      <c r="E27">
        <v>0</v>
      </c>
      <c r="F27">
        <v>0</v>
      </c>
      <c r="G27">
        <v>140</v>
      </c>
      <c r="H27" s="1" t="s">
        <v>54</v>
      </c>
      <c r="I27">
        <v>21.59</v>
      </c>
      <c r="J27">
        <v>12.41</v>
      </c>
      <c r="K27">
        <v>104</v>
      </c>
      <c r="L27">
        <v>157.09</v>
      </c>
      <c r="M27">
        <v>74</v>
      </c>
      <c r="N27">
        <v>3</v>
      </c>
      <c r="O27">
        <v>0</v>
      </c>
      <c r="P27">
        <v>91.55</v>
      </c>
      <c r="Q27">
        <v>0</v>
      </c>
      <c r="R27" s="1" t="s">
        <v>90</v>
      </c>
      <c r="S27" s="1" t="s">
        <v>165</v>
      </c>
      <c r="T27">
        <v>0.94</v>
      </c>
      <c r="U27" s="1"/>
      <c r="V27">
        <f t="shared" si="0"/>
        <v>47.4</v>
      </c>
    </row>
    <row r="28" spans="1:22" x14ac:dyDescent="0.4">
      <c r="A28">
        <v>13</v>
      </c>
      <c r="B28">
        <v>26</v>
      </c>
      <c r="C28" s="1" t="s">
        <v>36</v>
      </c>
      <c r="D28">
        <v>5.0999999999999996</v>
      </c>
      <c r="E28">
        <v>0</v>
      </c>
      <c r="F28">
        <v>0</v>
      </c>
      <c r="G28">
        <v>141</v>
      </c>
      <c r="H28" s="1" t="s">
        <v>62</v>
      </c>
      <c r="I28">
        <v>39.96</v>
      </c>
      <c r="J28">
        <v>14</v>
      </c>
      <c r="K28">
        <v>115</v>
      </c>
      <c r="L28">
        <v>312.5</v>
      </c>
      <c r="M28">
        <v>68</v>
      </c>
      <c r="N28">
        <v>4</v>
      </c>
      <c r="O28">
        <v>0</v>
      </c>
      <c r="P28">
        <v>93.63</v>
      </c>
      <c r="Q28">
        <v>0</v>
      </c>
      <c r="R28" s="1" t="s">
        <v>91</v>
      </c>
      <c r="S28" s="1" t="s">
        <v>165</v>
      </c>
      <c r="T28">
        <v>1.1200000000000001</v>
      </c>
      <c r="U28" s="1"/>
      <c r="V28">
        <f t="shared" si="0"/>
        <v>47.4</v>
      </c>
    </row>
    <row r="29" spans="1:22" x14ac:dyDescent="0.4">
      <c r="A29">
        <v>32</v>
      </c>
      <c r="B29">
        <v>65</v>
      </c>
      <c r="C29" s="1" t="s">
        <v>38</v>
      </c>
      <c r="D29">
        <v>5.0999999999999996</v>
      </c>
      <c r="E29">
        <v>0</v>
      </c>
      <c r="F29">
        <v>1</v>
      </c>
      <c r="G29">
        <v>141</v>
      </c>
      <c r="H29" s="1" t="s">
        <v>48</v>
      </c>
      <c r="I29">
        <v>39.119999999999997</v>
      </c>
      <c r="J29">
        <v>12.97</v>
      </c>
      <c r="K29">
        <v>76</v>
      </c>
      <c r="L29">
        <v>222.54</v>
      </c>
      <c r="M29">
        <v>42</v>
      </c>
      <c r="N29">
        <v>2</v>
      </c>
      <c r="O29">
        <v>0</v>
      </c>
      <c r="P29">
        <v>57.99</v>
      </c>
      <c r="Q29">
        <v>0</v>
      </c>
      <c r="R29" s="1" t="s">
        <v>92</v>
      </c>
      <c r="S29" s="1" t="s">
        <v>165</v>
      </c>
      <c r="T29">
        <v>1.01</v>
      </c>
      <c r="U29" s="1"/>
      <c r="V29">
        <f t="shared" si="0"/>
        <v>47.4</v>
      </c>
    </row>
    <row r="30" spans="1:22" x14ac:dyDescent="0.4">
      <c r="A30">
        <v>34</v>
      </c>
      <c r="B30">
        <v>68</v>
      </c>
      <c r="C30" s="1" t="s">
        <v>23</v>
      </c>
      <c r="D30">
        <v>5.0999999999999996</v>
      </c>
      <c r="E30">
        <v>0</v>
      </c>
      <c r="F30">
        <v>0</v>
      </c>
      <c r="G30">
        <v>141</v>
      </c>
      <c r="H30" s="1" t="s">
        <v>61</v>
      </c>
      <c r="I30">
        <v>27.85</v>
      </c>
      <c r="J30">
        <v>13.4</v>
      </c>
      <c r="K30">
        <v>73</v>
      </c>
      <c r="L30">
        <v>188.34</v>
      </c>
      <c r="M30">
        <v>41</v>
      </c>
      <c r="N30">
        <v>2</v>
      </c>
      <c r="O30">
        <v>0</v>
      </c>
      <c r="P30">
        <v>58.23</v>
      </c>
      <c r="Q30">
        <v>0</v>
      </c>
      <c r="R30" s="1" t="s">
        <v>93</v>
      </c>
      <c r="S30" s="1" t="s">
        <v>165</v>
      </c>
      <c r="T30">
        <v>0.99</v>
      </c>
      <c r="U30" s="1"/>
      <c r="V30">
        <f t="shared" si="0"/>
        <v>47.4</v>
      </c>
    </row>
    <row r="31" spans="1:22" x14ac:dyDescent="0.4">
      <c r="A31">
        <v>20</v>
      </c>
      <c r="B31">
        <v>40</v>
      </c>
      <c r="C31" s="1" t="s">
        <v>39</v>
      </c>
      <c r="D31">
        <v>5.0999999999999996</v>
      </c>
      <c r="E31">
        <v>0</v>
      </c>
      <c r="F31">
        <v>0</v>
      </c>
      <c r="G31">
        <v>142</v>
      </c>
      <c r="H31" s="1" t="s">
        <v>31</v>
      </c>
      <c r="I31">
        <v>58.45</v>
      </c>
      <c r="J31">
        <v>8.41</v>
      </c>
      <c r="K31">
        <v>102</v>
      </c>
      <c r="L31">
        <v>292.36</v>
      </c>
      <c r="M31">
        <v>58</v>
      </c>
      <c r="N31">
        <v>3</v>
      </c>
      <c r="O31">
        <v>0</v>
      </c>
      <c r="P31">
        <v>79.760000000000005</v>
      </c>
      <c r="Q31">
        <v>0</v>
      </c>
      <c r="R31" s="1" t="s">
        <v>94</v>
      </c>
      <c r="S31" s="1" t="s">
        <v>165</v>
      </c>
      <c r="T31">
        <v>1.02</v>
      </c>
      <c r="U31" s="1"/>
      <c r="V31">
        <f t="shared" si="0"/>
        <v>47.4</v>
      </c>
    </row>
    <row r="32" spans="1:22" x14ac:dyDescent="0.4">
      <c r="A32">
        <v>2</v>
      </c>
      <c r="B32">
        <v>4</v>
      </c>
      <c r="C32" s="1" t="s">
        <v>40</v>
      </c>
      <c r="D32">
        <v>5.0999999999999996</v>
      </c>
      <c r="E32">
        <v>0</v>
      </c>
      <c r="F32">
        <v>0</v>
      </c>
      <c r="G32">
        <v>143</v>
      </c>
      <c r="H32" s="1" t="s">
        <v>47</v>
      </c>
      <c r="I32">
        <v>60.98</v>
      </c>
      <c r="J32">
        <v>13.77</v>
      </c>
      <c r="K32">
        <v>139</v>
      </c>
      <c r="L32">
        <v>225.88</v>
      </c>
      <c r="M32">
        <v>101</v>
      </c>
      <c r="N32">
        <v>3</v>
      </c>
      <c r="O32">
        <v>0</v>
      </c>
      <c r="P32">
        <v>121.49</v>
      </c>
      <c r="Q32">
        <v>0</v>
      </c>
      <c r="R32" s="1" t="s">
        <v>95</v>
      </c>
      <c r="S32" s="1" t="s">
        <v>165</v>
      </c>
      <c r="T32">
        <v>1.01</v>
      </c>
      <c r="U32" s="1"/>
      <c r="V32">
        <f t="shared" si="0"/>
        <v>47.4</v>
      </c>
    </row>
    <row r="33" spans="1:22" x14ac:dyDescent="0.4">
      <c r="A33">
        <v>10</v>
      </c>
      <c r="B33">
        <v>20</v>
      </c>
      <c r="C33" s="1" t="s">
        <v>41</v>
      </c>
      <c r="D33">
        <v>5.0999999999999996</v>
      </c>
      <c r="E33">
        <v>0</v>
      </c>
      <c r="F33">
        <v>0</v>
      </c>
      <c r="G33">
        <v>143</v>
      </c>
      <c r="H33" s="1" t="s">
        <v>61</v>
      </c>
      <c r="I33">
        <v>27.85</v>
      </c>
      <c r="J33">
        <v>14.28</v>
      </c>
      <c r="K33">
        <v>123</v>
      </c>
      <c r="L33">
        <v>241.81</v>
      </c>
      <c r="M33">
        <v>76</v>
      </c>
      <c r="N33">
        <v>5</v>
      </c>
      <c r="O33">
        <v>0</v>
      </c>
      <c r="P33">
        <v>104.87</v>
      </c>
      <c r="Q33">
        <v>0</v>
      </c>
      <c r="R33" s="1" t="s">
        <v>96</v>
      </c>
      <c r="S33" s="1" t="s">
        <v>165</v>
      </c>
      <c r="T33">
        <v>1.0900000000000001</v>
      </c>
      <c r="U33" s="1"/>
      <c r="V33">
        <f t="shared" si="0"/>
        <v>47.4</v>
      </c>
    </row>
    <row r="34" spans="1:22" x14ac:dyDescent="0.4">
      <c r="A34">
        <v>16</v>
      </c>
      <c r="B34">
        <v>32</v>
      </c>
      <c r="C34" s="1" t="s">
        <v>42</v>
      </c>
      <c r="D34">
        <v>5.0999999999999996</v>
      </c>
      <c r="E34">
        <v>0</v>
      </c>
      <c r="F34">
        <v>0</v>
      </c>
      <c r="G34">
        <v>143</v>
      </c>
      <c r="H34" s="1" t="s">
        <v>63</v>
      </c>
      <c r="I34">
        <v>60.98</v>
      </c>
      <c r="J34">
        <v>11.68</v>
      </c>
      <c r="K34">
        <v>111</v>
      </c>
      <c r="L34">
        <v>220.42</v>
      </c>
      <c r="M34">
        <v>77</v>
      </c>
      <c r="N34">
        <v>2</v>
      </c>
      <c r="O34">
        <v>0</v>
      </c>
      <c r="P34">
        <v>91.13</v>
      </c>
      <c r="Q34">
        <v>0</v>
      </c>
      <c r="R34" s="1" t="s">
        <v>97</v>
      </c>
      <c r="S34" s="1" t="s">
        <v>165</v>
      </c>
      <c r="T34">
        <v>0.88</v>
      </c>
      <c r="U34" s="1"/>
      <c r="V34">
        <f t="shared" ref="V34:V65" si="1">AVERAGE(M:M)</f>
        <v>47.4</v>
      </c>
    </row>
    <row r="35" spans="1:22" x14ac:dyDescent="0.4">
      <c r="A35">
        <v>30</v>
      </c>
      <c r="B35">
        <v>61</v>
      </c>
      <c r="C35" s="1" t="s">
        <v>43</v>
      </c>
      <c r="D35">
        <v>5.0999999999999996</v>
      </c>
      <c r="E35">
        <v>0</v>
      </c>
      <c r="F35">
        <v>1</v>
      </c>
      <c r="G35">
        <v>144</v>
      </c>
      <c r="H35" s="1" t="s">
        <v>58</v>
      </c>
      <c r="I35">
        <v>16.21</v>
      </c>
      <c r="J35">
        <v>10.79</v>
      </c>
      <c r="K35">
        <v>83</v>
      </c>
      <c r="L35">
        <v>102.74</v>
      </c>
      <c r="M35">
        <v>53</v>
      </c>
      <c r="N35">
        <v>3</v>
      </c>
      <c r="O35">
        <v>0</v>
      </c>
      <c r="P35">
        <v>75.86</v>
      </c>
      <c r="Q35">
        <v>0</v>
      </c>
      <c r="R35" s="1" t="s">
        <v>98</v>
      </c>
      <c r="S35" s="1" t="s">
        <v>165</v>
      </c>
      <c r="T35">
        <v>1.18</v>
      </c>
      <c r="U35" s="1"/>
      <c r="V35">
        <f t="shared" si="1"/>
        <v>47.4</v>
      </c>
    </row>
    <row r="36" spans="1:22" x14ac:dyDescent="0.4">
      <c r="A36">
        <v>40</v>
      </c>
      <c r="B36">
        <v>80</v>
      </c>
      <c r="C36" s="1" t="s">
        <v>37</v>
      </c>
      <c r="D36">
        <v>5.0999999999999996</v>
      </c>
      <c r="E36">
        <v>0</v>
      </c>
      <c r="F36">
        <v>0</v>
      </c>
      <c r="G36">
        <v>144</v>
      </c>
      <c r="H36" s="1" t="s">
        <v>36</v>
      </c>
      <c r="I36">
        <v>58.45</v>
      </c>
      <c r="J36">
        <v>7.73</v>
      </c>
      <c r="K36">
        <v>64</v>
      </c>
      <c r="L36">
        <v>221.39</v>
      </c>
      <c r="M36">
        <v>17</v>
      </c>
      <c r="N36">
        <v>3</v>
      </c>
      <c r="O36">
        <v>0</v>
      </c>
      <c r="P36">
        <v>45.92</v>
      </c>
      <c r="Q36">
        <v>0</v>
      </c>
      <c r="R36" s="1" t="s">
        <v>99</v>
      </c>
      <c r="S36" s="1" t="s">
        <v>165</v>
      </c>
      <c r="T36">
        <v>1.03</v>
      </c>
      <c r="U36" s="1"/>
      <c r="V36">
        <f t="shared" si="1"/>
        <v>47.4</v>
      </c>
    </row>
    <row r="37" spans="1:22" x14ac:dyDescent="0.4">
      <c r="A37">
        <v>43</v>
      </c>
      <c r="B37">
        <v>86</v>
      </c>
      <c r="C37" s="1" t="s">
        <v>42</v>
      </c>
      <c r="D37">
        <v>5.0999999999999996</v>
      </c>
      <c r="E37">
        <v>0</v>
      </c>
      <c r="F37">
        <v>0</v>
      </c>
      <c r="G37">
        <v>144</v>
      </c>
      <c r="H37" s="1" t="s">
        <v>23</v>
      </c>
      <c r="I37">
        <v>54.42</v>
      </c>
      <c r="J37">
        <v>13.94</v>
      </c>
      <c r="K37">
        <v>58</v>
      </c>
      <c r="L37">
        <v>288.42</v>
      </c>
      <c r="M37">
        <v>25</v>
      </c>
      <c r="N37">
        <v>1</v>
      </c>
      <c r="O37">
        <v>0</v>
      </c>
      <c r="P37">
        <v>36.630000000000003</v>
      </c>
      <c r="Q37">
        <v>0</v>
      </c>
      <c r="R37" s="1" t="s">
        <v>100</v>
      </c>
      <c r="S37" s="1" t="s">
        <v>165</v>
      </c>
      <c r="T37">
        <v>1.04</v>
      </c>
      <c r="U37" s="1"/>
      <c r="V37">
        <f t="shared" si="1"/>
        <v>47.4</v>
      </c>
    </row>
    <row r="38" spans="1:22" x14ac:dyDescent="0.4">
      <c r="A38">
        <v>3</v>
      </c>
      <c r="B38">
        <v>6</v>
      </c>
      <c r="C38" s="1" t="s">
        <v>30</v>
      </c>
      <c r="D38">
        <v>5.0999999999999996</v>
      </c>
      <c r="E38">
        <v>0</v>
      </c>
      <c r="F38">
        <v>0</v>
      </c>
      <c r="G38">
        <v>145</v>
      </c>
      <c r="H38" s="1" t="s">
        <v>41</v>
      </c>
      <c r="I38">
        <v>27.1</v>
      </c>
      <c r="J38">
        <v>8.75</v>
      </c>
      <c r="K38">
        <v>139</v>
      </c>
      <c r="L38">
        <v>254.24</v>
      </c>
      <c r="M38">
        <v>91</v>
      </c>
      <c r="N38">
        <v>4</v>
      </c>
      <c r="O38">
        <v>0</v>
      </c>
      <c r="P38">
        <v>119.96</v>
      </c>
      <c r="Q38">
        <v>0</v>
      </c>
      <c r="R38" s="1" t="s">
        <v>101</v>
      </c>
      <c r="S38" s="1" t="s">
        <v>165</v>
      </c>
      <c r="T38">
        <v>1.08</v>
      </c>
      <c r="U38" s="1"/>
      <c r="V38">
        <f t="shared" si="1"/>
        <v>47.4</v>
      </c>
    </row>
    <row r="39" spans="1:22" x14ac:dyDescent="0.4">
      <c r="A39">
        <v>14</v>
      </c>
      <c r="B39">
        <v>28</v>
      </c>
      <c r="C39" s="1" t="s">
        <v>28</v>
      </c>
      <c r="D39">
        <v>5.0999999999999996</v>
      </c>
      <c r="E39">
        <v>0</v>
      </c>
      <c r="F39">
        <v>0</v>
      </c>
      <c r="G39">
        <v>146</v>
      </c>
      <c r="H39" s="1" t="s">
        <v>64</v>
      </c>
      <c r="I39">
        <v>35.57</v>
      </c>
      <c r="J39">
        <v>12.58</v>
      </c>
      <c r="K39">
        <v>118</v>
      </c>
      <c r="L39">
        <v>300.22000000000003</v>
      </c>
      <c r="M39">
        <v>61</v>
      </c>
      <c r="N39">
        <v>4</v>
      </c>
      <c r="O39">
        <v>0</v>
      </c>
      <c r="P39">
        <v>93.61</v>
      </c>
      <c r="Q39">
        <v>0</v>
      </c>
      <c r="R39" s="1" t="s">
        <v>102</v>
      </c>
      <c r="S39" s="1" t="s">
        <v>165</v>
      </c>
      <c r="T39">
        <v>0.99</v>
      </c>
      <c r="U39" s="1"/>
      <c r="V39">
        <f t="shared" si="1"/>
        <v>47.4</v>
      </c>
    </row>
    <row r="40" spans="1:22" x14ac:dyDescent="0.4">
      <c r="A40">
        <v>23</v>
      </c>
      <c r="B40">
        <v>46</v>
      </c>
      <c r="C40" s="1" t="s">
        <v>31</v>
      </c>
      <c r="D40">
        <v>5.0999999999999996</v>
      </c>
      <c r="E40">
        <v>0</v>
      </c>
      <c r="F40">
        <v>0</v>
      </c>
      <c r="G40">
        <v>146</v>
      </c>
      <c r="H40" s="1" t="s">
        <v>36</v>
      </c>
      <c r="I40">
        <v>58.45</v>
      </c>
      <c r="J40">
        <v>7.99</v>
      </c>
      <c r="K40">
        <v>100</v>
      </c>
      <c r="L40">
        <v>350.43</v>
      </c>
      <c r="M40">
        <v>36</v>
      </c>
      <c r="N40">
        <v>3</v>
      </c>
      <c r="O40">
        <v>0</v>
      </c>
      <c r="P40">
        <v>68.23</v>
      </c>
      <c r="Q40">
        <v>0</v>
      </c>
      <c r="R40" s="1" t="s">
        <v>103</v>
      </c>
      <c r="S40" s="1" t="s">
        <v>165</v>
      </c>
      <c r="T40">
        <v>0.89</v>
      </c>
      <c r="U40" s="1"/>
      <c r="V40">
        <f t="shared" si="1"/>
        <v>47.4</v>
      </c>
    </row>
    <row r="41" spans="1:22" x14ac:dyDescent="0.4">
      <c r="A41">
        <v>22</v>
      </c>
      <c r="B41">
        <v>44</v>
      </c>
      <c r="C41" s="1" t="s">
        <v>22</v>
      </c>
      <c r="D41">
        <v>5.0999999999999996</v>
      </c>
      <c r="E41">
        <v>0</v>
      </c>
      <c r="F41">
        <v>0</v>
      </c>
      <c r="G41">
        <v>148</v>
      </c>
      <c r="H41" s="1" t="s">
        <v>36</v>
      </c>
      <c r="I41">
        <v>58.45</v>
      </c>
      <c r="J41">
        <v>10.42</v>
      </c>
      <c r="K41">
        <v>104</v>
      </c>
      <c r="L41">
        <v>194.92</v>
      </c>
      <c r="M41">
        <v>68</v>
      </c>
      <c r="N41">
        <v>3</v>
      </c>
      <c r="O41">
        <v>0</v>
      </c>
      <c r="P41">
        <v>88.07</v>
      </c>
      <c r="Q41">
        <v>0</v>
      </c>
      <c r="R41" s="1" t="s">
        <v>104</v>
      </c>
      <c r="S41" s="1" t="s">
        <v>165</v>
      </c>
      <c r="T41">
        <v>0.97</v>
      </c>
      <c r="U41" s="1"/>
      <c r="V41">
        <f t="shared" si="1"/>
        <v>47.4</v>
      </c>
    </row>
    <row r="42" spans="1:22" x14ac:dyDescent="0.4">
      <c r="A42">
        <v>38</v>
      </c>
      <c r="B42">
        <v>96</v>
      </c>
      <c r="C42" s="1" t="s">
        <v>43</v>
      </c>
      <c r="D42">
        <v>5.0999999999999996</v>
      </c>
      <c r="E42">
        <v>0</v>
      </c>
      <c r="F42">
        <v>20</v>
      </c>
      <c r="G42">
        <v>156</v>
      </c>
      <c r="H42" s="1" t="s">
        <v>36</v>
      </c>
      <c r="I42">
        <v>58.45</v>
      </c>
      <c r="J42">
        <v>14.48</v>
      </c>
      <c r="K42">
        <v>60</v>
      </c>
      <c r="L42">
        <v>183.11</v>
      </c>
      <c r="M42">
        <v>23</v>
      </c>
      <c r="N42">
        <v>3</v>
      </c>
      <c r="O42">
        <v>0</v>
      </c>
      <c r="P42">
        <v>46.89</v>
      </c>
      <c r="Q42">
        <v>0</v>
      </c>
      <c r="R42" s="1" t="s">
        <v>105</v>
      </c>
      <c r="S42" s="1" t="s">
        <v>165</v>
      </c>
      <c r="T42">
        <v>1.1000000000000001</v>
      </c>
      <c r="U42" s="1"/>
      <c r="V42">
        <f t="shared" si="1"/>
        <v>47.4</v>
      </c>
    </row>
    <row r="43" spans="1:22" x14ac:dyDescent="0.4">
      <c r="A43">
        <v>48</v>
      </c>
      <c r="B43">
        <v>99</v>
      </c>
      <c r="C43" s="1" t="s">
        <v>44</v>
      </c>
      <c r="D43">
        <v>5.0999999999999996</v>
      </c>
      <c r="E43">
        <v>0</v>
      </c>
      <c r="F43">
        <v>3</v>
      </c>
      <c r="G43">
        <v>162</v>
      </c>
      <c r="H43" s="1" t="s">
        <v>57</v>
      </c>
      <c r="I43">
        <v>36.04</v>
      </c>
      <c r="J43">
        <v>11.57</v>
      </c>
      <c r="K43">
        <v>63</v>
      </c>
      <c r="L43">
        <v>253.45</v>
      </c>
      <c r="M43">
        <v>23</v>
      </c>
      <c r="N43">
        <v>1</v>
      </c>
      <c r="O43">
        <v>0</v>
      </c>
      <c r="P43">
        <v>39.42</v>
      </c>
      <c r="Q43">
        <v>0</v>
      </c>
      <c r="R43" s="1" t="s">
        <v>106</v>
      </c>
      <c r="S43" s="1" t="s">
        <v>165</v>
      </c>
      <c r="T43">
        <v>0.88</v>
      </c>
      <c r="U43" s="1"/>
      <c r="V43">
        <f t="shared" si="1"/>
        <v>47.4</v>
      </c>
    </row>
    <row r="44" spans="1:22" x14ac:dyDescent="0.4">
      <c r="A44">
        <v>36</v>
      </c>
      <c r="B44">
        <v>72</v>
      </c>
      <c r="C44" s="1" t="s">
        <v>39</v>
      </c>
      <c r="D44">
        <v>5.0999999999999996</v>
      </c>
      <c r="E44">
        <v>0</v>
      </c>
      <c r="F44">
        <v>0</v>
      </c>
      <c r="G44">
        <v>164</v>
      </c>
      <c r="H44" s="1" t="s">
        <v>51</v>
      </c>
      <c r="I44">
        <v>38.72</v>
      </c>
      <c r="J44">
        <v>13.25</v>
      </c>
      <c r="K44">
        <v>92</v>
      </c>
      <c r="L44">
        <v>281.33999999999997</v>
      </c>
      <c r="M44">
        <v>34</v>
      </c>
      <c r="N44">
        <v>4</v>
      </c>
      <c r="O44">
        <v>0</v>
      </c>
      <c r="P44">
        <v>69.3</v>
      </c>
      <c r="Q44">
        <v>0</v>
      </c>
      <c r="R44" s="1" t="s">
        <v>107</v>
      </c>
      <c r="S44" s="1" t="s">
        <v>165</v>
      </c>
      <c r="T44">
        <v>0.97</v>
      </c>
      <c r="U44" s="1"/>
      <c r="V44">
        <f t="shared" si="1"/>
        <v>47.4</v>
      </c>
    </row>
    <row r="45" spans="1:22" x14ac:dyDescent="0.4">
      <c r="A45">
        <v>54</v>
      </c>
      <c r="B45">
        <v>109</v>
      </c>
      <c r="C45" s="1" t="s">
        <v>21</v>
      </c>
      <c r="D45">
        <v>5.0999999999999996</v>
      </c>
      <c r="E45">
        <v>0</v>
      </c>
      <c r="F45">
        <v>1</v>
      </c>
      <c r="G45">
        <v>165</v>
      </c>
      <c r="H45" s="1" t="s">
        <v>59</v>
      </c>
      <c r="I45">
        <v>18.28</v>
      </c>
      <c r="J45">
        <v>13.23</v>
      </c>
      <c r="K45">
        <v>56</v>
      </c>
      <c r="L45">
        <v>247.77</v>
      </c>
      <c r="M45">
        <v>15</v>
      </c>
      <c r="N45">
        <v>2</v>
      </c>
      <c r="O45">
        <v>0</v>
      </c>
      <c r="P45">
        <v>35.340000000000003</v>
      </c>
      <c r="Q45">
        <v>0</v>
      </c>
      <c r="R45" s="1" t="s">
        <v>108</v>
      </c>
      <c r="S45" s="1" t="s">
        <v>165</v>
      </c>
      <c r="T45">
        <v>1</v>
      </c>
      <c r="U45" s="1"/>
      <c r="V45">
        <f t="shared" si="1"/>
        <v>47.4</v>
      </c>
    </row>
    <row r="46" spans="1:22" x14ac:dyDescent="0.4">
      <c r="A46">
        <v>58</v>
      </c>
      <c r="B46">
        <v>116</v>
      </c>
      <c r="C46" s="1" t="s">
        <v>45</v>
      </c>
      <c r="D46">
        <v>5.0999999999999996</v>
      </c>
      <c r="E46">
        <v>0</v>
      </c>
      <c r="F46">
        <v>0</v>
      </c>
      <c r="G46">
        <v>166</v>
      </c>
      <c r="H46" s="1" t="s">
        <v>49</v>
      </c>
      <c r="I46">
        <v>29.56</v>
      </c>
      <c r="J46">
        <v>11.03</v>
      </c>
      <c r="K46">
        <v>50</v>
      </c>
      <c r="L46">
        <v>214.4</v>
      </c>
      <c r="M46">
        <v>10</v>
      </c>
      <c r="N46">
        <v>1</v>
      </c>
      <c r="O46">
        <v>0</v>
      </c>
      <c r="P46">
        <v>33.67</v>
      </c>
      <c r="Q46">
        <v>0</v>
      </c>
      <c r="R46" s="1" t="s">
        <v>109</v>
      </c>
      <c r="S46" s="1" t="s">
        <v>165</v>
      </c>
      <c r="T46">
        <v>1.02</v>
      </c>
      <c r="U46" s="1"/>
      <c r="V46">
        <f t="shared" si="1"/>
        <v>47.4</v>
      </c>
    </row>
    <row r="47" spans="1:22" x14ac:dyDescent="0.4">
      <c r="A47">
        <v>83</v>
      </c>
      <c r="B47">
        <v>166</v>
      </c>
      <c r="C47" s="1" t="s">
        <v>29</v>
      </c>
      <c r="D47">
        <v>5.0999999999999996</v>
      </c>
      <c r="E47">
        <v>0</v>
      </c>
      <c r="F47">
        <v>0</v>
      </c>
      <c r="G47">
        <v>171</v>
      </c>
      <c r="H47" s="1" t="s">
        <v>29</v>
      </c>
      <c r="I47">
        <v>33.94</v>
      </c>
      <c r="J47">
        <v>11.35</v>
      </c>
      <c r="K47">
        <v>5</v>
      </c>
      <c r="L47">
        <v>28.84</v>
      </c>
      <c r="M47">
        <v>0</v>
      </c>
      <c r="N47">
        <v>0</v>
      </c>
      <c r="O47">
        <v>0</v>
      </c>
      <c r="P47">
        <v>2.46</v>
      </c>
      <c r="Q47">
        <v>0</v>
      </c>
      <c r="R47" s="1" t="s">
        <v>110</v>
      </c>
      <c r="S47" s="1" t="s">
        <v>165</v>
      </c>
      <c r="T47">
        <v>0.97</v>
      </c>
      <c r="U47" s="1"/>
      <c r="V47">
        <f t="shared" si="1"/>
        <v>47.4</v>
      </c>
    </row>
    <row r="48" spans="1:22" x14ac:dyDescent="0.4">
      <c r="A48">
        <v>44</v>
      </c>
      <c r="B48">
        <v>89</v>
      </c>
      <c r="C48" s="1" t="s">
        <v>42</v>
      </c>
      <c r="D48">
        <v>5.0999999999999996</v>
      </c>
      <c r="E48">
        <v>0</v>
      </c>
      <c r="F48">
        <v>1</v>
      </c>
      <c r="G48">
        <v>186</v>
      </c>
      <c r="H48" s="1" t="s">
        <v>29</v>
      </c>
      <c r="I48">
        <v>33.94</v>
      </c>
      <c r="J48">
        <v>14.1</v>
      </c>
      <c r="K48">
        <v>97</v>
      </c>
      <c r="L48">
        <v>331.4</v>
      </c>
      <c r="M48">
        <v>54</v>
      </c>
      <c r="N48">
        <v>2</v>
      </c>
      <c r="O48">
        <v>0</v>
      </c>
      <c r="P48">
        <v>72.09</v>
      </c>
      <c r="Q48">
        <v>0</v>
      </c>
      <c r="R48" s="1" t="s">
        <v>111</v>
      </c>
      <c r="S48" s="1" t="s">
        <v>165</v>
      </c>
      <c r="T48">
        <v>1.04</v>
      </c>
      <c r="U48" s="1"/>
      <c r="V48">
        <f t="shared" si="1"/>
        <v>47.4</v>
      </c>
    </row>
    <row r="49" spans="1:22" x14ac:dyDescent="0.4">
      <c r="A49">
        <v>59</v>
      </c>
      <c r="B49">
        <v>118</v>
      </c>
      <c r="C49" s="1" t="s">
        <v>46</v>
      </c>
      <c r="D49">
        <v>5.0999999999999996</v>
      </c>
      <c r="E49">
        <v>0</v>
      </c>
      <c r="F49">
        <v>0</v>
      </c>
      <c r="G49">
        <v>186</v>
      </c>
      <c r="H49" s="1" t="s">
        <v>55</v>
      </c>
      <c r="I49">
        <v>25.15</v>
      </c>
      <c r="J49">
        <v>13.39</v>
      </c>
      <c r="K49">
        <v>68</v>
      </c>
      <c r="L49">
        <v>138.28</v>
      </c>
      <c r="M49">
        <v>41</v>
      </c>
      <c r="N49">
        <v>2</v>
      </c>
      <c r="O49">
        <v>0</v>
      </c>
      <c r="P49">
        <v>55.68</v>
      </c>
      <c r="Q49">
        <v>0</v>
      </c>
      <c r="R49" s="1" t="s">
        <v>112</v>
      </c>
      <c r="S49" s="1" t="s">
        <v>165</v>
      </c>
      <c r="T49">
        <v>0.97</v>
      </c>
      <c r="U49" s="1"/>
      <c r="V49">
        <f t="shared" si="1"/>
        <v>47.4</v>
      </c>
    </row>
    <row r="50" spans="1:22" x14ac:dyDescent="0.4">
      <c r="A50">
        <v>61</v>
      </c>
      <c r="B50">
        <v>122</v>
      </c>
      <c r="C50" s="1" t="s">
        <v>42</v>
      </c>
      <c r="D50">
        <v>5.0999999999999996</v>
      </c>
      <c r="E50">
        <v>0</v>
      </c>
      <c r="F50">
        <v>0</v>
      </c>
      <c r="G50">
        <v>187</v>
      </c>
      <c r="H50" s="1" t="s">
        <v>60</v>
      </c>
      <c r="I50">
        <v>42.32</v>
      </c>
      <c r="J50">
        <v>15.16</v>
      </c>
      <c r="K50">
        <v>65</v>
      </c>
      <c r="L50">
        <v>188.95</v>
      </c>
      <c r="M50">
        <v>42</v>
      </c>
      <c r="N50">
        <v>1</v>
      </c>
      <c r="O50">
        <v>0</v>
      </c>
      <c r="P50">
        <v>52.03</v>
      </c>
      <c r="Q50">
        <v>0</v>
      </c>
      <c r="R50" s="1" t="s">
        <v>113</v>
      </c>
      <c r="S50" s="1" t="s">
        <v>165</v>
      </c>
      <c r="T50">
        <v>1.1200000000000001</v>
      </c>
      <c r="U50" s="1"/>
      <c r="V50">
        <f t="shared" si="1"/>
        <v>47.4</v>
      </c>
    </row>
    <row r="51" spans="1:22" x14ac:dyDescent="0.4">
      <c r="A51">
        <v>27</v>
      </c>
      <c r="B51">
        <v>55</v>
      </c>
      <c r="C51" s="1" t="s">
        <v>21</v>
      </c>
      <c r="D51">
        <v>5.0999999999999996</v>
      </c>
      <c r="E51">
        <v>0</v>
      </c>
      <c r="F51">
        <v>1</v>
      </c>
      <c r="G51">
        <v>188</v>
      </c>
      <c r="H51" s="1" t="s">
        <v>42</v>
      </c>
      <c r="I51">
        <v>58.81</v>
      </c>
      <c r="J51">
        <v>12.47</v>
      </c>
      <c r="K51">
        <v>133</v>
      </c>
      <c r="L51">
        <v>359.13</v>
      </c>
      <c r="M51">
        <v>75</v>
      </c>
      <c r="N51">
        <v>5</v>
      </c>
      <c r="O51">
        <v>0</v>
      </c>
      <c r="P51">
        <v>101.66</v>
      </c>
      <c r="Q51">
        <v>0</v>
      </c>
      <c r="R51" s="1" t="s">
        <v>114</v>
      </c>
      <c r="S51" s="1" t="s">
        <v>165</v>
      </c>
      <c r="T51">
        <v>0.95</v>
      </c>
      <c r="U51" s="1"/>
      <c r="V51">
        <f t="shared" si="1"/>
        <v>47.4</v>
      </c>
    </row>
    <row r="52" spans="1:22" x14ac:dyDescent="0.4">
      <c r="A52">
        <v>31</v>
      </c>
      <c r="B52">
        <v>62</v>
      </c>
      <c r="C52" s="1" t="s">
        <v>40</v>
      </c>
      <c r="D52">
        <v>5.0999999999999996</v>
      </c>
      <c r="E52">
        <v>0</v>
      </c>
      <c r="F52">
        <v>0</v>
      </c>
      <c r="G52">
        <v>188</v>
      </c>
      <c r="H52" s="1" t="s">
        <v>38</v>
      </c>
      <c r="I52">
        <v>63.43</v>
      </c>
      <c r="J52">
        <v>6.88</v>
      </c>
      <c r="K52">
        <v>126</v>
      </c>
      <c r="L52">
        <v>309.06</v>
      </c>
      <c r="M52">
        <v>63</v>
      </c>
      <c r="N52">
        <v>4</v>
      </c>
      <c r="O52">
        <v>0</v>
      </c>
      <c r="P52">
        <v>103.7</v>
      </c>
      <c r="Q52">
        <v>0</v>
      </c>
      <c r="R52" s="1" t="s">
        <v>115</v>
      </c>
      <c r="S52" s="1" t="s">
        <v>165</v>
      </c>
      <c r="T52">
        <v>1.1499999999999999</v>
      </c>
      <c r="U52" s="1"/>
      <c r="V52">
        <f t="shared" si="1"/>
        <v>47.4</v>
      </c>
    </row>
    <row r="53" spans="1:22" x14ac:dyDescent="0.4">
      <c r="A53">
        <v>49</v>
      </c>
      <c r="B53">
        <v>98</v>
      </c>
      <c r="C53" s="1" t="s">
        <v>28</v>
      </c>
      <c r="D53">
        <v>5.0999999999999996</v>
      </c>
      <c r="E53">
        <v>0</v>
      </c>
      <c r="F53">
        <v>0</v>
      </c>
      <c r="G53">
        <v>188</v>
      </c>
      <c r="H53" s="1" t="s">
        <v>56</v>
      </c>
      <c r="I53">
        <v>30.33</v>
      </c>
      <c r="J53">
        <v>11.37</v>
      </c>
      <c r="K53">
        <v>90</v>
      </c>
      <c r="L53">
        <v>273.23</v>
      </c>
      <c r="M53">
        <v>42</v>
      </c>
      <c r="N53">
        <v>3</v>
      </c>
      <c r="O53">
        <v>0</v>
      </c>
      <c r="P53">
        <v>65.459999999999994</v>
      </c>
      <c r="Q53">
        <v>0</v>
      </c>
      <c r="R53" s="1" t="s">
        <v>116</v>
      </c>
      <c r="S53" s="1" t="s">
        <v>165</v>
      </c>
      <c r="T53">
        <v>0.85</v>
      </c>
      <c r="U53" s="1"/>
      <c r="V53">
        <f t="shared" si="1"/>
        <v>47.4</v>
      </c>
    </row>
    <row r="54" spans="1:22" x14ac:dyDescent="0.4">
      <c r="A54">
        <v>52</v>
      </c>
      <c r="B54">
        <v>107</v>
      </c>
      <c r="C54" s="1" t="s">
        <v>42</v>
      </c>
      <c r="D54">
        <v>5.0999999999999996</v>
      </c>
      <c r="E54">
        <v>0</v>
      </c>
      <c r="F54">
        <v>3</v>
      </c>
      <c r="G54">
        <v>188</v>
      </c>
      <c r="H54" s="1" t="s">
        <v>44</v>
      </c>
      <c r="I54">
        <v>27.1</v>
      </c>
      <c r="J54">
        <v>11.54</v>
      </c>
      <c r="K54">
        <v>81</v>
      </c>
      <c r="L54">
        <v>256.89999999999998</v>
      </c>
      <c r="M54">
        <v>39</v>
      </c>
      <c r="N54">
        <v>2</v>
      </c>
      <c r="O54">
        <v>0</v>
      </c>
      <c r="P54">
        <v>60.06</v>
      </c>
      <c r="Q54">
        <v>0</v>
      </c>
      <c r="R54" s="1" t="s">
        <v>117</v>
      </c>
      <c r="S54" s="1" t="s">
        <v>165</v>
      </c>
      <c r="T54">
        <v>1.02</v>
      </c>
      <c r="U54" s="1"/>
      <c r="V54">
        <f t="shared" si="1"/>
        <v>47.4</v>
      </c>
    </row>
    <row r="55" spans="1:22" x14ac:dyDescent="0.4">
      <c r="A55">
        <v>42</v>
      </c>
      <c r="B55">
        <v>84</v>
      </c>
      <c r="C55" s="1" t="s">
        <v>47</v>
      </c>
      <c r="D55">
        <v>5.0999999999999996</v>
      </c>
      <c r="E55">
        <v>0</v>
      </c>
      <c r="F55">
        <v>0</v>
      </c>
      <c r="G55">
        <v>190</v>
      </c>
      <c r="H55" s="1" t="s">
        <v>34</v>
      </c>
      <c r="I55">
        <v>63.43</v>
      </c>
      <c r="J55">
        <v>5.47</v>
      </c>
      <c r="K55">
        <v>106</v>
      </c>
      <c r="L55">
        <v>301.16000000000003</v>
      </c>
      <c r="M55">
        <v>51</v>
      </c>
      <c r="N55">
        <v>3</v>
      </c>
      <c r="O55">
        <v>0</v>
      </c>
      <c r="P55">
        <v>84.99</v>
      </c>
      <c r="Q55">
        <v>0</v>
      </c>
      <c r="R55" s="1" t="s">
        <v>118</v>
      </c>
      <c r="S55" s="1" t="s">
        <v>165</v>
      </c>
      <c r="T55">
        <v>1.0900000000000001</v>
      </c>
      <c r="U55" s="1"/>
      <c r="V55">
        <f t="shared" si="1"/>
        <v>47.4</v>
      </c>
    </row>
    <row r="56" spans="1:22" x14ac:dyDescent="0.4">
      <c r="A56">
        <v>6</v>
      </c>
      <c r="B56">
        <v>12</v>
      </c>
      <c r="C56" s="1" t="s">
        <v>48</v>
      </c>
      <c r="D56">
        <v>5.0999999999999996</v>
      </c>
      <c r="E56">
        <v>0</v>
      </c>
      <c r="F56">
        <v>0</v>
      </c>
      <c r="G56">
        <v>196</v>
      </c>
      <c r="H56" s="1" t="s">
        <v>34</v>
      </c>
      <c r="I56">
        <v>63.43</v>
      </c>
      <c r="J56">
        <v>11.17</v>
      </c>
      <c r="K56">
        <v>184</v>
      </c>
      <c r="L56">
        <v>440.88</v>
      </c>
      <c r="M56">
        <v>106</v>
      </c>
      <c r="N56">
        <v>5</v>
      </c>
      <c r="O56">
        <v>0</v>
      </c>
      <c r="P56">
        <v>150.58000000000001</v>
      </c>
      <c r="Q56">
        <v>0</v>
      </c>
      <c r="R56" s="1" t="s">
        <v>119</v>
      </c>
      <c r="S56" s="1" t="s">
        <v>165</v>
      </c>
      <c r="T56">
        <v>1.05</v>
      </c>
      <c r="U56" s="1"/>
      <c r="V56">
        <f t="shared" si="1"/>
        <v>47.4</v>
      </c>
    </row>
    <row r="57" spans="1:22" x14ac:dyDescent="0.4">
      <c r="A57">
        <v>56</v>
      </c>
      <c r="B57">
        <v>112</v>
      </c>
      <c r="C57" s="1" t="s">
        <v>49</v>
      </c>
      <c r="D57">
        <v>5.0999999999999996</v>
      </c>
      <c r="E57">
        <v>0</v>
      </c>
      <c r="F57">
        <v>0</v>
      </c>
      <c r="G57">
        <v>196</v>
      </c>
      <c r="H57" s="1" t="s">
        <v>44</v>
      </c>
      <c r="I57">
        <v>27.1</v>
      </c>
      <c r="J57">
        <v>10.71</v>
      </c>
      <c r="K57">
        <v>84</v>
      </c>
      <c r="L57">
        <v>201.12</v>
      </c>
      <c r="M57">
        <v>51</v>
      </c>
      <c r="N57">
        <v>2</v>
      </c>
      <c r="O57">
        <v>0</v>
      </c>
      <c r="P57">
        <v>65.89</v>
      </c>
      <c r="Q57">
        <v>0</v>
      </c>
      <c r="R57" s="1" t="s">
        <v>120</v>
      </c>
      <c r="S57" s="1" t="s">
        <v>165</v>
      </c>
      <c r="T57">
        <v>0.9</v>
      </c>
      <c r="U57" s="1"/>
      <c r="V57">
        <f t="shared" si="1"/>
        <v>47.4</v>
      </c>
    </row>
    <row r="58" spans="1:22" x14ac:dyDescent="0.4">
      <c r="A58">
        <v>85</v>
      </c>
      <c r="B58">
        <v>170</v>
      </c>
      <c r="C58" s="1" t="s">
        <v>48</v>
      </c>
      <c r="D58">
        <v>5.0999999999999996</v>
      </c>
      <c r="E58">
        <v>0</v>
      </c>
      <c r="F58">
        <v>0</v>
      </c>
      <c r="G58">
        <v>196</v>
      </c>
      <c r="H58" s="1" t="s">
        <v>53</v>
      </c>
      <c r="I58">
        <v>38.72</v>
      </c>
      <c r="J58">
        <v>13.05</v>
      </c>
      <c r="K58">
        <v>26</v>
      </c>
      <c r="L58">
        <v>154.24</v>
      </c>
      <c r="M58">
        <v>0</v>
      </c>
      <c r="N58">
        <v>0</v>
      </c>
      <c r="O58">
        <v>0</v>
      </c>
      <c r="P58">
        <v>12.95</v>
      </c>
      <c r="Q58">
        <v>0</v>
      </c>
      <c r="R58" s="1" t="s">
        <v>121</v>
      </c>
      <c r="S58" s="1" t="s">
        <v>165</v>
      </c>
      <c r="T58">
        <v>0.98</v>
      </c>
      <c r="U58" s="1"/>
      <c r="V58">
        <f t="shared" si="1"/>
        <v>47.4</v>
      </c>
    </row>
    <row r="59" spans="1:22" x14ac:dyDescent="0.4">
      <c r="A59">
        <v>72</v>
      </c>
      <c r="B59">
        <v>145</v>
      </c>
      <c r="C59" s="1" t="s">
        <v>48</v>
      </c>
      <c r="D59">
        <v>5.0999999999999996</v>
      </c>
      <c r="E59">
        <v>0</v>
      </c>
      <c r="F59">
        <v>1</v>
      </c>
      <c r="G59">
        <v>197</v>
      </c>
      <c r="H59" s="1" t="s">
        <v>64</v>
      </c>
      <c r="I59">
        <v>35.57</v>
      </c>
      <c r="J59">
        <v>12.63</v>
      </c>
      <c r="K59">
        <v>52</v>
      </c>
      <c r="L59">
        <v>204.2</v>
      </c>
      <c r="M59">
        <v>21</v>
      </c>
      <c r="N59">
        <v>1</v>
      </c>
      <c r="O59">
        <v>0</v>
      </c>
      <c r="P59">
        <v>34.479999999999997</v>
      </c>
      <c r="Q59">
        <v>0</v>
      </c>
      <c r="R59" s="1" t="s">
        <v>122</v>
      </c>
      <c r="S59" s="1" t="s">
        <v>165</v>
      </c>
      <c r="T59">
        <v>0.94</v>
      </c>
      <c r="U59" s="1"/>
      <c r="V59">
        <f t="shared" si="1"/>
        <v>47.4</v>
      </c>
    </row>
    <row r="60" spans="1:22" x14ac:dyDescent="0.4">
      <c r="A60">
        <v>81</v>
      </c>
      <c r="B60">
        <v>162</v>
      </c>
      <c r="C60" s="1" t="s">
        <v>28</v>
      </c>
      <c r="D60">
        <v>5.0999999999999996</v>
      </c>
      <c r="E60">
        <v>0</v>
      </c>
      <c r="F60">
        <v>0</v>
      </c>
      <c r="G60">
        <v>197</v>
      </c>
      <c r="H60" s="1" t="s">
        <v>58</v>
      </c>
      <c r="I60">
        <v>16.21</v>
      </c>
      <c r="J60">
        <v>12.18</v>
      </c>
      <c r="K60">
        <v>35</v>
      </c>
      <c r="L60">
        <v>245.66</v>
      </c>
      <c r="M60">
        <v>0</v>
      </c>
      <c r="N60">
        <v>0</v>
      </c>
      <c r="O60">
        <v>0</v>
      </c>
      <c r="P60">
        <v>15.45</v>
      </c>
      <c r="Q60">
        <v>0</v>
      </c>
      <c r="R60" s="1" t="s">
        <v>123</v>
      </c>
      <c r="S60" s="1" t="s">
        <v>165</v>
      </c>
      <c r="T60">
        <v>1</v>
      </c>
      <c r="U60" s="1"/>
      <c r="V60">
        <f t="shared" si="1"/>
        <v>47.4</v>
      </c>
    </row>
    <row r="61" spans="1:22" x14ac:dyDescent="0.4">
      <c r="A61">
        <v>64</v>
      </c>
      <c r="B61">
        <v>129</v>
      </c>
      <c r="C61" s="1" t="s">
        <v>26</v>
      </c>
      <c r="D61">
        <v>5.0999999999999996</v>
      </c>
      <c r="E61">
        <v>0</v>
      </c>
      <c r="F61">
        <v>1</v>
      </c>
      <c r="G61">
        <v>207</v>
      </c>
      <c r="H61" s="1" t="s">
        <v>57</v>
      </c>
      <c r="I61">
        <v>36.04</v>
      </c>
      <c r="J61">
        <v>12.89</v>
      </c>
      <c r="K61">
        <v>78</v>
      </c>
      <c r="L61">
        <v>291.92</v>
      </c>
      <c r="M61">
        <v>31</v>
      </c>
      <c r="N61">
        <v>2</v>
      </c>
      <c r="O61">
        <v>0</v>
      </c>
      <c r="P61">
        <v>53.3</v>
      </c>
      <c r="Q61">
        <v>0</v>
      </c>
      <c r="R61" s="1" t="s">
        <v>124</v>
      </c>
      <c r="S61" s="1" t="s">
        <v>165</v>
      </c>
      <c r="T61">
        <v>0.94</v>
      </c>
      <c r="U61" s="1"/>
      <c r="V61">
        <f t="shared" si="1"/>
        <v>47.4</v>
      </c>
    </row>
    <row r="62" spans="1:22" x14ac:dyDescent="0.4">
      <c r="A62">
        <v>70</v>
      </c>
      <c r="B62">
        <v>150</v>
      </c>
      <c r="C62" s="1" t="s">
        <v>41</v>
      </c>
      <c r="D62">
        <v>5.0999999999999996</v>
      </c>
      <c r="E62">
        <v>0</v>
      </c>
      <c r="F62">
        <v>10</v>
      </c>
      <c r="G62">
        <v>207</v>
      </c>
      <c r="H62" s="1" t="s">
        <v>29</v>
      </c>
      <c r="I62">
        <v>33.94</v>
      </c>
      <c r="J62">
        <v>6.88</v>
      </c>
      <c r="K62">
        <v>57</v>
      </c>
      <c r="L62">
        <v>145.77000000000001</v>
      </c>
      <c r="M62">
        <v>25</v>
      </c>
      <c r="N62">
        <v>2</v>
      </c>
      <c r="O62">
        <v>0</v>
      </c>
      <c r="P62">
        <v>45.53</v>
      </c>
      <c r="Q62">
        <v>0</v>
      </c>
      <c r="R62" s="1" t="s">
        <v>125</v>
      </c>
      <c r="S62" s="1" t="s">
        <v>165</v>
      </c>
      <c r="T62">
        <v>1.02</v>
      </c>
      <c r="U62" s="1"/>
      <c r="V62">
        <f t="shared" si="1"/>
        <v>47.4</v>
      </c>
    </row>
    <row r="63" spans="1:22" x14ac:dyDescent="0.4">
      <c r="A63">
        <v>78</v>
      </c>
      <c r="B63">
        <v>156</v>
      </c>
      <c r="C63" s="1" t="s">
        <v>45</v>
      </c>
      <c r="D63">
        <v>5.0999999999999996</v>
      </c>
      <c r="E63">
        <v>0</v>
      </c>
      <c r="F63">
        <v>0</v>
      </c>
      <c r="G63">
        <v>216</v>
      </c>
      <c r="H63" s="1" t="s">
        <v>57</v>
      </c>
      <c r="I63">
        <v>36.04</v>
      </c>
      <c r="J63">
        <v>13.35</v>
      </c>
      <c r="K63">
        <v>60</v>
      </c>
      <c r="L63">
        <v>259.95999999999998</v>
      </c>
      <c r="M63">
        <v>18</v>
      </c>
      <c r="N63">
        <v>2</v>
      </c>
      <c r="O63">
        <v>0</v>
      </c>
      <c r="P63">
        <v>39.840000000000003</v>
      </c>
      <c r="Q63">
        <v>0</v>
      </c>
      <c r="R63" s="1" t="s">
        <v>126</v>
      </c>
      <c r="S63" s="1" t="s">
        <v>165</v>
      </c>
      <c r="T63">
        <v>1.01</v>
      </c>
      <c r="U63" s="1"/>
      <c r="V63">
        <f t="shared" si="1"/>
        <v>47.4</v>
      </c>
    </row>
    <row r="64" spans="1:22" x14ac:dyDescent="0.4">
      <c r="A64">
        <v>79</v>
      </c>
      <c r="B64">
        <v>159</v>
      </c>
      <c r="C64" s="1" t="s">
        <v>45</v>
      </c>
      <c r="D64">
        <v>5.0999999999999996</v>
      </c>
      <c r="E64">
        <v>0</v>
      </c>
      <c r="F64">
        <v>1</v>
      </c>
      <c r="G64">
        <v>219</v>
      </c>
      <c r="H64" s="1" t="s">
        <v>24</v>
      </c>
      <c r="I64">
        <v>29.56</v>
      </c>
      <c r="J64">
        <v>14.15</v>
      </c>
      <c r="K64">
        <v>60</v>
      </c>
      <c r="L64">
        <v>253.54</v>
      </c>
      <c r="M64">
        <v>15</v>
      </c>
      <c r="N64">
        <v>2</v>
      </c>
      <c r="O64">
        <v>0</v>
      </c>
      <c r="P64">
        <v>40.89</v>
      </c>
      <c r="Q64">
        <v>0</v>
      </c>
      <c r="R64" s="1" t="s">
        <v>127</v>
      </c>
      <c r="S64" s="1" t="s">
        <v>165</v>
      </c>
      <c r="T64">
        <v>1.0900000000000001</v>
      </c>
      <c r="U64" s="1"/>
      <c r="V64">
        <f t="shared" si="1"/>
        <v>47.4</v>
      </c>
    </row>
    <row r="65" spans="1:22" x14ac:dyDescent="0.4">
      <c r="A65">
        <v>51</v>
      </c>
      <c r="B65">
        <v>102</v>
      </c>
      <c r="C65" s="1" t="s">
        <v>24</v>
      </c>
      <c r="D65">
        <v>5.0999999999999996</v>
      </c>
      <c r="E65">
        <v>0</v>
      </c>
      <c r="F65">
        <v>0</v>
      </c>
      <c r="G65">
        <v>228</v>
      </c>
      <c r="H65" s="1" t="s">
        <v>36</v>
      </c>
      <c r="I65">
        <v>58.45</v>
      </c>
      <c r="J65">
        <v>6.06</v>
      </c>
      <c r="K65">
        <v>126</v>
      </c>
      <c r="L65">
        <v>281.99</v>
      </c>
      <c r="M65">
        <v>61</v>
      </c>
      <c r="N65">
        <v>5</v>
      </c>
      <c r="O65">
        <v>0</v>
      </c>
      <c r="P65">
        <v>106.68</v>
      </c>
      <c r="Q65">
        <v>0</v>
      </c>
      <c r="R65" s="1" t="s">
        <v>128</v>
      </c>
      <c r="S65" s="1" t="s">
        <v>165</v>
      </c>
      <c r="T65">
        <v>1.17</v>
      </c>
      <c r="U65" s="1"/>
      <c r="V65">
        <f t="shared" si="1"/>
        <v>47.4</v>
      </c>
    </row>
    <row r="66" spans="1:22" x14ac:dyDescent="0.4">
      <c r="A66">
        <v>82</v>
      </c>
      <c r="B66">
        <v>164</v>
      </c>
      <c r="C66" s="1" t="s">
        <v>50</v>
      </c>
      <c r="D66">
        <v>5.0999999999999996</v>
      </c>
      <c r="E66">
        <v>0</v>
      </c>
      <c r="F66">
        <v>0</v>
      </c>
      <c r="G66">
        <v>228</v>
      </c>
      <c r="H66" s="1" t="s">
        <v>25</v>
      </c>
      <c r="I66">
        <v>59.98</v>
      </c>
      <c r="J66">
        <v>6.12</v>
      </c>
      <c r="K66">
        <v>64</v>
      </c>
      <c r="L66">
        <v>159.52000000000001</v>
      </c>
      <c r="M66">
        <v>36</v>
      </c>
      <c r="N66">
        <v>3</v>
      </c>
      <c r="O66">
        <v>0</v>
      </c>
      <c r="P66">
        <v>51.41</v>
      </c>
      <c r="Q66">
        <v>0</v>
      </c>
      <c r="R66" s="1" t="s">
        <v>129</v>
      </c>
      <c r="S66" s="1" t="s">
        <v>165</v>
      </c>
      <c r="T66">
        <v>1.02</v>
      </c>
      <c r="U66" s="1"/>
      <c r="V66">
        <f t="shared" ref="V66:V101" si="2">AVERAGE(M:M)</f>
        <v>47.4</v>
      </c>
    </row>
    <row r="67" spans="1:22" x14ac:dyDescent="0.4">
      <c r="A67">
        <v>96</v>
      </c>
      <c r="B67">
        <v>192</v>
      </c>
      <c r="C67" s="1" t="s">
        <v>41</v>
      </c>
      <c r="D67">
        <v>5.0999999999999996</v>
      </c>
      <c r="E67">
        <v>0</v>
      </c>
      <c r="F67">
        <v>0</v>
      </c>
      <c r="G67">
        <v>230</v>
      </c>
      <c r="H67" s="1" t="s">
        <v>55</v>
      </c>
      <c r="I67">
        <v>25.15</v>
      </c>
      <c r="J67">
        <v>12.57</v>
      </c>
      <c r="K67">
        <v>38</v>
      </c>
      <c r="L67">
        <v>61.71</v>
      </c>
      <c r="M67">
        <v>26</v>
      </c>
      <c r="N67">
        <v>1</v>
      </c>
      <c r="O67">
        <v>0</v>
      </c>
      <c r="P67">
        <v>33.479999999999997</v>
      </c>
      <c r="Q67">
        <v>0</v>
      </c>
      <c r="R67" s="1" t="s">
        <v>130</v>
      </c>
      <c r="S67" s="1" t="s">
        <v>165</v>
      </c>
      <c r="T67">
        <v>1.01</v>
      </c>
      <c r="U67" s="1"/>
      <c r="V67">
        <f t="shared" si="2"/>
        <v>47.4</v>
      </c>
    </row>
    <row r="68" spans="1:22" x14ac:dyDescent="0.4">
      <c r="A68">
        <v>57</v>
      </c>
      <c r="B68">
        <v>114</v>
      </c>
      <c r="C68" s="1" t="s">
        <v>51</v>
      </c>
      <c r="D68">
        <v>5.0999999999999996</v>
      </c>
      <c r="E68">
        <v>0</v>
      </c>
      <c r="F68">
        <v>0</v>
      </c>
      <c r="G68">
        <v>231</v>
      </c>
      <c r="H68" s="1" t="s">
        <v>56</v>
      </c>
      <c r="I68">
        <v>30.33</v>
      </c>
      <c r="J68">
        <v>12.28</v>
      </c>
      <c r="K68">
        <v>117</v>
      </c>
      <c r="L68">
        <v>224.37</v>
      </c>
      <c r="M68">
        <v>73</v>
      </c>
      <c r="N68">
        <v>3</v>
      </c>
      <c r="O68">
        <v>0</v>
      </c>
      <c r="P68">
        <v>101.25</v>
      </c>
      <c r="Q68">
        <v>0</v>
      </c>
      <c r="R68" s="1" t="s">
        <v>131</v>
      </c>
      <c r="S68" s="1" t="s">
        <v>165</v>
      </c>
      <c r="T68">
        <v>1.1399999999999999</v>
      </c>
      <c r="U68" s="1"/>
      <c r="V68">
        <f t="shared" si="2"/>
        <v>47.4</v>
      </c>
    </row>
    <row r="69" spans="1:22" x14ac:dyDescent="0.4">
      <c r="A69">
        <v>63</v>
      </c>
      <c r="B69">
        <v>126</v>
      </c>
      <c r="C69" s="1" t="s">
        <v>50</v>
      </c>
      <c r="D69">
        <v>5.0999999999999996</v>
      </c>
      <c r="E69">
        <v>0</v>
      </c>
      <c r="F69">
        <v>0</v>
      </c>
      <c r="G69">
        <v>231</v>
      </c>
      <c r="H69" s="1" t="s">
        <v>46</v>
      </c>
      <c r="I69">
        <v>33.94</v>
      </c>
      <c r="J69">
        <v>7.9</v>
      </c>
      <c r="K69">
        <v>105</v>
      </c>
      <c r="L69">
        <v>205.05</v>
      </c>
      <c r="M69">
        <v>69</v>
      </c>
      <c r="N69">
        <v>2</v>
      </c>
      <c r="O69">
        <v>0</v>
      </c>
      <c r="P69">
        <v>89.19</v>
      </c>
      <c r="Q69">
        <v>0</v>
      </c>
      <c r="R69" s="1" t="s">
        <v>132</v>
      </c>
      <c r="S69" s="1" t="s">
        <v>165</v>
      </c>
      <c r="T69">
        <v>0.99</v>
      </c>
      <c r="U69" s="1"/>
      <c r="V69">
        <f t="shared" si="2"/>
        <v>47.4</v>
      </c>
    </row>
    <row r="70" spans="1:22" x14ac:dyDescent="0.4">
      <c r="A70">
        <v>46</v>
      </c>
      <c r="B70">
        <v>94</v>
      </c>
      <c r="C70" s="1" t="s">
        <v>36</v>
      </c>
      <c r="D70">
        <v>5.0999999999999996</v>
      </c>
      <c r="E70">
        <v>0</v>
      </c>
      <c r="F70">
        <v>2</v>
      </c>
      <c r="G70">
        <v>233</v>
      </c>
      <c r="H70" s="1" t="s">
        <v>56</v>
      </c>
      <c r="I70">
        <v>30.33</v>
      </c>
      <c r="J70">
        <v>12.33</v>
      </c>
      <c r="K70">
        <v>139</v>
      </c>
      <c r="L70">
        <v>297.5</v>
      </c>
      <c r="M70">
        <v>84</v>
      </c>
      <c r="N70">
        <v>3</v>
      </c>
      <c r="O70">
        <v>0</v>
      </c>
      <c r="P70">
        <v>115.07</v>
      </c>
      <c r="Q70">
        <v>0</v>
      </c>
      <c r="R70" s="1" t="s">
        <v>133</v>
      </c>
      <c r="S70" s="1" t="s">
        <v>165</v>
      </c>
      <c r="T70">
        <v>1</v>
      </c>
      <c r="U70" s="1"/>
      <c r="V70">
        <f t="shared" si="2"/>
        <v>47.4</v>
      </c>
    </row>
    <row r="71" spans="1:22" x14ac:dyDescent="0.4">
      <c r="A71">
        <v>73</v>
      </c>
      <c r="B71">
        <v>150</v>
      </c>
      <c r="C71" s="1" t="s">
        <v>34</v>
      </c>
      <c r="D71">
        <v>5.0999999999999996</v>
      </c>
      <c r="E71">
        <v>0</v>
      </c>
      <c r="F71">
        <v>4</v>
      </c>
      <c r="G71">
        <v>235</v>
      </c>
      <c r="H71" s="1" t="s">
        <v>62</v>
      </c>
      <c r="I71">
        <v>39.96</v>
      </c>
      <c r="J71">
        <v>13.84</v>
      </c>
      <c r="K71">
        <v>85</v>
      </c>
      <c r="L71">
        <v>186.16</v>
      </c>
      <c r="M71">
        <v>52</v>
      </c>
      <c r="N71">
        <v>2</v>
      </c>
      <c r="O71">
        <v>0</v>
      </c>
      <c r="P71">
        <v>72.2</v>
      </c>
      <c r="Q71">
        <v>0</v>
      </c>
      <c r="R71" s="1" t="s">
        <v>134</v>
      </c>
      <c r="S71" s="1" t="s">
        <v>165</v>
      </c>
      <c r="T71">
        <v>1.06</v>
      </c>
      <c r="U71" s="1"/>
      <c r="V71">
        <f t="shared" si="2"/>
        <v>47.4</v>
      </c>
    </row>
    <row r="72" spans="1:22" x14ac:dyDescent="0.4">
      <c r="A72">
        <v>29</v>
      </c>
      <c r="B72">
        <v>58</v>
      </c>
      <c r="C72" s="1" t="s">
        <v>43</v>
      </c>
      <c r="D72">
        <v>5.0999999999999996</v>
      </c>
      <c r="E72">
        <v>0</v>
      </c>
      <c r="F72">
        <v>0</v>
      </c>
      <c r="G72">
        <v>237</v>
      </c>
      <c r="H72" s="1" t="s">
        <v>26</v>
      </c>
      <c r="I72">
        <v>59.98</v>
      </c>
      <c r="J72">
        <v>6.98</v>
      </c>
      <c r="K72">
        <v>179</v>
      </c>
      <c r="L72">
        <v>275.56</v>
      </c>
      <c r="M72">
        <v>115</v>
      </c>
      <c r="N72">
        <v>6</v>
      </c>
      <c r="O72">
        <v>0</v>
      </c>
      <c r="P72">
        <v>154.87</v>
      </c>
      <c r="Q72">
        <v>0</v>
      </c>
      <c r="R72" s="1" t="s">
        <v>135</v>
      </c>
      <c r="S72" s="1" t="s">
        <v>165</v>
      </c>
      <c r="T72">
        <v>0.93</v>
      </c>
      <c r="U72" s="1"/>
      <c r="V72">
        <f t="shared" si="2"/>
        <v>47.4</v>
      </c>
    </row>
    <row r="73" spans="1:22" x14ac:dyDescent="0.4">
      <c r="A73">
        <v>84</v>
      </c>
      <c r="B73">
        <v>168</v>
      </c>
      <c r="C73" s="1" t="s">
        <v>32</v>
      </c>
      <c r="D73">
        <v>5.0999999999999996</v>
      </c>
      <c r="E73">
        <v>0</v>
      </c>
      <c r="F73">
        <v>0</v>
      </c>
      <c r="G73">
        <v>237</v>
      </c>
      <c r="H73" s="1" t="s">
        <v>41</v>
      </c>
      <c r="I73">
        <v>27.1</v>
      </c>
      <c r="J73">
        <v>12.99</v>
      </c>
      <c r="K73">
        <v>69</v>
      </c>
      <c r="L73">
        <v>259.10000000000002</v>
      </c>
      <c r="M73">
        <v>29</v>
      </c>
      <c r="N73">
        <v>3</v>
      </c>
      <c r="O73">
        <v>0</v>
      </c>
      <c r="P73">
        <v>50.68</v>
      </c>
      <c r="Q73">
        <v>0</v>
      </c>
      <c r="R73" s="1" t="s">
        <v>136</v>
      </c>
      <c r="S73" s="1" t="s">
        <v>165</v>
      </c>
      <c r="T73">
        <v>1.1499999999999999</v>
      </c>
      <c r="U73" s="1"/>
      <c r="V73">
        <f t="shared" si="2"/>
        <v>47.4</v>
      </c>
    </row>
    <row r="74" spans="1:22" x14ac:dyDescent="0.4">
      <c r="A74">
        <v>77</v>
      </c>
      <c r="B74">
        <v>154</v>
      </c>
      <c r="C74" s="1" t="s">
        <v>27</v>
      </c>
      <c r="D74">
        <v>5.0999999999999996</v>
      </c>
      <c r="E74">
        <v>0</v>
      </c>
      <c r="F74">
        <v>0</v>
      </c>
      <c r="G74">
        <v>239</v>
      </c>
      <c r="H74" s="1" t="s">
        <v>34</v>
      </c>
      <c r="I74">
        <v>63.43</v>
      </c>
      <c r="J74">
        <v>13.49</v>
      </c>
      <c r="K74">
        <v>85</v>
      </c>
      <c r="L74">
        <v>237.97</v>
      </c>
      <c r="M74">
        <v>48</v>
      </c>
      <c r="N74">
        <v>2</v>
      </c>
      <c r="O74">
        <v>0</v>
      </c>
      <c r="P74">
        <v>65.27</v>
      </c>
      <c r="Q74">
        <v>0</v>
      </c>
      <c r="R74" s="1" t="s">
        <v>137</v>
      </c>
      <c r="S74" s="1" t="s">
        <v>165</v>
      </c>
      <c r="T74">
        <v>0.98</v>
      </c>
      <c r="U74" s="1"/>
      <c r="V74">
        <f t="shared" si="2"/>
        <v>47.4</v>
      </c>
    </row>
    <row r="75" spans="1:22" x14ac:dyDescent="0.4">
      <c r="A75">
        <v>71</v>
      </c>
      <c r="B75">
        <v>143</v>
      </c>
      <c r="C75" s="1" t="s">
        <v>26</v>
      </c>
      <c r="D75">
        <v>5.0999999999999996</v>
      </c>
      <c r="E75">
        <v>0</v>
      </c>
      <c r="F75">
        <v>1</v>
      </c>
      <c r="G75">
        <v>240</v>
      </c>
      <c r="H75" s="1" t="s">
        <v>43</v>
      </c>
      <c r="I75">
        <v>40.96</v>
      </c>
      <c r="J75">
        <v>12.48</v>
      </c>
      <c r="K75">
        <v>97</v>
      </c>
      <c r="L75">
        <v>402.04</v>
      </c>
      <c r="M75">
        <v>32</v>
      </c>
      <c r="N75">
        <v>3</v>
      </c>
      <c r="O75">
        <v>0</v>
      </c>
      <c r="P75">
        <v>63.73</v>
      </c>
      <c r="Q75">
        <v>0</v>
      </c>
      <c r="R75" s="1" t="s">
        <v>138</v>
      </c>
      <c r="S75" s="1" t="s">
        <v>165</v>
      </c>
      <c r="T75">
        <v>0.97</v>
      </c>
      <c r="U75" s="1"/>
      <c r="V75">
        <f t="shared" si="2"/>
        <v>47.4</v>
      </c>
    </row>
    <row r="76" spans="1:22" x14ac:dyDescent="0.4">
      <c r="A76">
        <v>92</v>
      </c>
      <c r="B76">
        <v>184</v>
      </c>
      <c r="C76" s="1" t="s">
        <v>39</v>
      </c>
      <c r="D76">
        <v>5.0999999999999996</v>
      </c>
      <c r="E76">
        <v>0</v>
      </c>
      <c r="F76">
        <v>0</v>
      </c>
      <c r="G76">
        <v>242</v>
      </c>
      <c r="H76" s="1" t="s">
        <v>36</v>
      </c>
      <c r="I76">
        <v>58.45</v>
      </c>
      <c r="J76">
        <v>7.38</v>
      </c>
      <c r="K76">
        <v>58</v>
      </c>
      <c r="L76">
        <v>227.94</v>
      </c>
      <c r="M76">
        <v>23</v>
      </c>
      <c r="N76">
        <v>1</v>
      </c>
      <c r="O76">
        <v>0</v>
      </c>
      <c r="P76">
        <v>37.65</v>
      </c>
      <c r="Q76">
        <v>0</v>
      </c>
      <c r="R76" s="1" t="s">
        <v>139</v>
      </c>
      <c r="S76" s="1" t="s">
        <v>165</v>
      </c>
      <c r="T76">
        <v>0.83</v>
      </c>
      <c r="U76" s="1"/>
      <c r="V76">
        <f t="shared" si="2"/>
        <v>47.4</v>
      </c>
    </row>
    <row r="77" spans="1:22" x14ac:dyDescent="0.4">
      <c r="A77">
        <v>75</v>
      </c>
      <c r="B77">
        <v>150</v>
      </c>
      <c r="C77" s="1" t="s">
        <v>44</v>
      </c>
      <c r="D77">
        <v>5.0999999999999996</v>
      </c>
      <c r="E77">
        <v>0</v>
      </c>
      <c r="F77">
        <v>0</v>
      </c>
      <c r="G77">
        <v>247</v>
      </c>
      <c r="H77" s="1" t="s">
        <v>34</v>
      </c>
      <c r="I77">
        <v>63.43</v>
      </c>
      <c r="J77">
        <v>13.61</v>
      </c>
      <c r="K77">
        <v>97</v>
      </c>
      <c r="L77">
        <v>295.64999999999998</v>
      </c>
      <c r="M77">
        <v>57</v>
      </c>
      <c r="N77">
        <v>2</v>
      </c>
      <c r="O77">
        <v>0</v>
      </c>
      <c r="P77">
        <v>72.680000000000007</v>
      </c>
      <c r="Q77">
        <v>0</v>
      </c>
      <c r="R77" s="1" t="s">
        <v>140</v>
      </c>
      <c r="S77" s="1" t="s">
        <v>165</v>
      </c>
      <c r="T77">
        <v>0.98</v>
      </c>
      <c r="U77" s="1"/>
      <c r="V77">
        <f t="shared" si="2"/>
        <v>47.4</v>
      </c>
    </row>
    <row r="78" spans="1:22" x14ac:dyDescent="0.4">
      <c r="A78">
        <v>65</v>
      </c>
      <c r="B78">
        <v>130</v>
      </c>
      <c r="C78" s="1" t="s">
        <v>52</v>
      </c>
      <c r="D78">
        <v>5.0999999999999996</v>
      </c>
      <c r="E78">
        <v>0</v>
      </c>
      <c r="F78">
        <v>0</v>
      </c>
      <c r="G78">
        <v>249</v>
      </c>
      <c r="H78" s="1" t="s">
        <v>31</v>
      </c>
      <c r="I78">
        <v>58.45</v>
      </c>
      <c r="J78">
        <v>10.28</v>
      </c>
      <c r="K78">
        <v>119</v>
      </c>
      <c r="L78">
        <v>195.23</v>
      </c>
      <c r="M78">
        <v>70</v>
      </c>
      <c r="N78">
        <v>4</v>
      </c>
      <c r="O78">
        <v>0</v>
      </c>
      <c r="P78">
        <v>100.19</v>
      </c>
      <c r="Q78">
        <v>0</v>
      </c>
      <c r="R78" s="1" t="s">
        <v>141</v>
      </c>
      <c r="S78" s="1" t="s">
        <v>165</v>
      </c>
      <c r="T78">
        <v>0.88</v>
      </c>
      <c r="U78" s="1"/>
      <c r="V78">
        <f t="shared" si="2"/>
        <v>47.4</v>
      </c>
    </row>
    <row r="79" spans="1:22" x14ac:dyDescent="0.4">
      <c r="A79">
        <v>80</v>
      </c>
      <c r="B79">
        <v>163</v>
      </c>
      <c r="C79" s="1" t="s">
        <v>26</v>
      </c>
      <c r="D79">
        <v>5.0999999999999996</v>
      </c>
      <c r="E79">
        <v>0</v>
      </c>
      <c r="F79">
        <v>3</v>
      </c>
      <c r="G79">
        <v>251</v>
      </c>
      <c r="H79" s="1" t="s">
        <v>31</v>
      </c>
      <c r="I79">
        <v>58.45</v>
      </c>
      <c r="J79">
        <v>11.94</v>
      </c>
      <c r="K79">
        <v>88</v>
      </c>
      <c r="L79">
        <v>366.77</v>
      </c>
      <c r="M79">
        <v>28</v>
      </c>
      <c r="N79">
        <v>3</v>
      </c>
      <c r="O79">
        <v>0</v>
      </c>
      <c r="P79">
        <v>58.47</v>
      </c>
      <c r="Q79">
        <v>0</v>
      </c>
      <c r="R79" s="1" t="s">
        <v>142</v>
      </c>
      <c r="S79" s="1" t="s">
        <v>165</v>
      </c>
      <c r="T79">
        <v>1.03</v>
      </c>
      <c r="U79" s="1"/>
      <c r="V79">
        <f t="shared" si="2"/>
        <v>47.4</v>
      </c>
    </row>
    <row r="80" spans="1:22" x14ac:dyDescent="0.4">
      <c r="A80">
        <v>62</v>
      </c>
      <c r="B80">
        <v>124</v>
      </c>
      <c r="C80" s="1" t="s">
        <v>21</v>
      </c>
      <c r="D80">
        <v>5.0999999999999996</v>
      </c>
      <c r="E80">
        <v>0</v>
      </c>
      <c r="F80">
        <v>0</v>
      </c>
      <c r="G80">
        <v>252</v>
      </c>
      <c r="H80" s="1" t="s">
        <v>48</v>
      </c>
      <c r="I80">
        <v>39.119999999999997</v>
      </c>
      <c r="J80">
        <v>13.78</v>
      </c>
      <c r="K80">
        <v>128</v>
      </c>
      <c r="L80">
        <v>214.85</v>
      </c>
      <c r="M80">
        <v>88</v>
      </c>
      <c r="N80">
        <v>4</v>
      </c>
      <c r="O80">
        <v>0</v>
      </c>
      <c r="P80">
        <v>109.92</v>
      </c>
      <c r="Q80">
        <v>0</v>
      </c>
      <c r="R80" s="1" t="s">
        <v>143</v>
      </c>
      <c r="S80" s="1" t="s">
        <v>165</v>
      </c>
      <c r="T80">
        <v>1.02</v>
      </c>
      <c r="U80" s="1"/>
      <c r="V80">
        <f t="shared" si="2"/>
        <v>47.4</v>
      </c>
    </row>
    <row r="81" spans="1:22" x14ac:dyDescent="0.4">
      <c r="A81">
        <v>60</v>
      </c>
      <c r="B81">
        <v>138</v>
      </c>
      <c r="C81" s="1" t="s">
        <v>41</v>
      </c>
      <c r="D81">
        <v>5.0999999999999996</v>
      </c>
      <c r="E81">
        <v>0</v>
      </c>
      <c r="F81">
        <v>18</v>
      </c>
      <c r="G81">
        <v>253</v>
      </c>
      <c r="H81" s="1" t="s">
        <v>31</v>
      </c>
      <c r="I81">
        <v>58.45</v>
      </c>
      <c r="J81">
        <v>13.08</v>
      </c>
      <c r="K81">
        <v>115</v>
      </c>
      <c r="L81">
        <v>284.13</v>
      </c>
      <c r="M81">
        <v>59</v>
      </c>
      <c r="N81">
        <v>4</v>
      </c>
      <c r="O81">
        <v>0</v>
      </c>
      <c r="P81">
        <v>93.22</v>
      </c>
      <c r="Q81">
        <v>0</v>
      </c>
      <c r="R81" s="1" t="s">
        <v>144</v>
      </c>
      <c r="S81" s="1" t="s">
        <v>165</v>
      </c>
      <c r="T81">
        <v>1.08</v>
      </c>
      <c r="U81" s="1"/>
      <c r="V81">
        <f t="shared" si="2"/>
        <v>47.4</v>
      </c>
    </row>
    <row r="82" spans="1:22" x14ac:dyDescent="0.4">
      <c r="A82">
        <v>74</v>
      </c>
      <c r="B82">
        <v>148</v>
      </c>
      <c r="C82" s="1" t="s">
        <v>39</v>
      </c>
      <c r="D82">
        <v>5.0999999999999996</v>
      </c>
      <c r="E82">
        <v>0</v>
      </c>
      <c r="F82">
        <v>0</v>
      </c>
      <c r="G82">
        <v>254</v>
      </c>
      <c r="H82" s="1" t="s">
        <v>34</v>
      </c>
      <c r="I82">
        <v>63.43</v>
      </c>
      <c r="J82">
        <v>12.51</v>
      </c>
      <c r="K82">
        <v>106</v>
      </c>
      <c r="L82">
        <v>359.26</v>
      </c>
      <c r="M82">
        <v>53</v>
      </c>
      <c r="N82">
        <v>3</v>
      </c>
      <c r="O82">
        <v>0</v>
      </c>
      <c r="P82">
        <v>76.17</v>
      </c>
      <c r="Q82">
        <v>0</v>
      </c>
      <c r="R82" s="1" t="s">
        <v>145</v>
      </c>
      <c r="S82" s="1" t="s">
        <v>165</v>
      </c>
      <c r="T82">
        <v>0.96</v>
      </c>
      <c r="U82" s="1"/>
      <c r="V82">
        <f t="shared" si="2"/>
        <v>47.4</v>
      </c>
    </row>
    <row r="83" spans="1:22" x14ac:dyDescent="0.4">
      <c r="A83">
        <v>87</v>
      </c>
      <c r="B83">
        <v>174</v>
      </c>
      <c r="C83" s="1" t="s">
        <v>53</v>
      </c>
      <c r="D83">
        <v>5.0999999999999996</v>
      </c>
      <c r="E83">
        <v>0</v>
      </c>
      <c r="F83">
        <v>0</v>
      </c>
      <c r="G83">
        <v>257</v>
      </c>
      <c r="H83" s="1" t="s">
        <v>55</v>
      </c>
      <c r="I83">
        <v>25.15</v>
      </c>
      <c r="J83">
        <v>13.95</v>
      </c>
      <c r="K83">
        <v>83</v>
      </c>
      <c r="L83">
        <v>257.63</v>
      </c>
      <c r="M83">
        <v>43</v>
      </c>
      <c r="N83">
        <v>2</v>
      </c>
      <c r="O83">
        <v>0</v>
      </c>
      <c r="P83">
        <v>63.07</v>
      </c>
      <c r="Q83">
        <v>0</v>
      </c>
      <c r="R83" s="1" t="s">
        <v>146</v>
      </c>
      <c r="S83" s="1" t="s">
        <v>165</v>
      </c>
      <c r="T83">
        <v>1.04</v>
      </c>
      <c r="U83" s="1"/>
      <c r="V83">
        <f t="shared" si="2"/>
        <v>47.4</v>
      </c>
    </row>
    <row r="84" spans="1:22" x14ac:dyDescent="0.4">
      <c r="A84">
        <v>86</v>
      </c>
      <c r="B84">
        <v>172</v>
      </c>
      <c r="C84" s="1" t="s">
        <v>45</v>
      </c>
      <c r="D84">
        <v>5.0999999999999996</v>
      </c>
      <c r="E84">
        <v>0</v>
      </c>
      <c r="F84">
        <v>0</v>
      </c>
      <c r="G84">
        <v>259</v>
      </c>
      <c r="H84" s="1" t="s">
        <v>34</v>
      </c>
      <c r="I84">
        <v>63.43</v>
      </c>
      <c r="J84">
        <v>13.21</v>
      </c>
      <c r="K84">
        <v>87</v>
      </c>
      <c r="L84">
        <v>307.12</v>
      </c>
      <c r="M84">
        <v>45</v>
      </c>
      <c r="N84">
        <v>1</v>
      </c>
      <c r="O84">
        <v>0</v>
      </c>
      <c r="P84">
        <v>62.81</v>
      </c>
      <c r="Q84">
        <v>0</v>
      </c>
      <c r="R84" s="1" t="s">
        <v>147</v>
      </c>
      <c r="S84" s="1" t="s">
        <v>165</v>
      </c>
      <c r="T84">
        <v>1</v>
      </c>
      <c r="U84" s="1"/>
      <c r="V84">
        <f t="shared" si="2"/>
        <v>47.4</v>
      </c>
    </row>
    <row r="85" spans="1:22" x14ac:dyDescent="0.4">
      <c r="A85">
        <v>76</v>
      </c>
      <c r="B85">
        <v>152</v>
      </c>
      <c r="C85" s="1" t="s">
        <v>22</v>
      </c>
      <c r="D85">
        <v>5.0999999999999996</v>
      </c>
      <c r="E85">
        <v>0</v>
      </c>
      <c r="F85">
        <v>0</v>
      </c>
      <c r="G85">
        <v>273</v>
      </c>
      <c r="H85" s="1" t="s">
        <v>53</v>
      </c>
      <c r="I85">
        <v>38.72</v>
      </c>
      <c r="J85">
        <v>4.75</v>
      </c>
      <c r="K85">
        <v>121</v>
      </c>
      <c r="L85">
        <v>301.75</v>
      </c>
      <c r="M85">
        <v>76</v>
      </c>
      <c r="N85">
        <v>3</v>
      </c>
      <c r="O85">
        <v>0</v>
      </c>
      <c r="P85">
        <v>98.41</v>
      </c>
      <c r="Q85">
        <v>0</v>
      </c>
      <c r="R85" s="1" t="s">
        <v>148</v>
      </c>
      <c r="S85" s="1" t="s">
        <v>165</v>
      </c>
      <c r="T85">
        <v>1.03</v>
      </c>
      <c r="U85" s="1"/>
      <c r="V85">
        <f t="shared" si="2"/>
        <v>47.4</v>
      </c>
    </row>
    <row r="86" spans="1:22" x14ac:dyDescent="0.4">
      <c r="A86">
        <v>89</v>
      </c>
      <c r="B86">
        <v>178</v>
      </c>
      <c r="C86" s="1" t="s">
        <v>49</v>
      </c>
      <c r="D86">
        <v>5.0999999999999996</v>
      </c>
      <c r="E86">
        <v>0</v>
      </c>
      <c r="F86">
        <v>0</v>
      </c>
      <c r="G86">
        <v>275</v>
      </c>
      <c r="H86" s="1" t="s">
        <v>59</v>
      </c>
      <c r="I86">
        <v>18.28</v>
      </c>
      <c r="J86">
        <v>11.77</v>
      </c>
      <c r="K86">
        <v>97</v>
      </c>
      <c r="L86">
        <v>122.11</v>
      </c>
      <c r="M86">
        <v>73</v>
      </c>
      <c r="N86">
        <v>2</v>
      </c>
      <c r="O86">
        <v>0</v>
      </c>
      <c r="P86">
        <v>86.99</v>
      </c>
      <c r="Q86">
        <v>0</v>
      </c>
      <c r="R86" s="1" t="s">
        <v>149</v>
      </c>
      <c r="S86" s="1" t="s">
        <v>165</v>
      </c>
      <c r="T86">
        <v>1.02</v>
      </c>
      <c r="U86" s="1"/>
      <c r="V86">
        <f t="shared" si="2"/>
        <v>47.4</v>
      </c>
    </row>
    <row r="87" spans="1:22" x14ac:dyDescent="0.4">
      <c r="A87">
        <v>90</v>
      </c>
      <c r="B87">
        <v>180</v>
      </c>
      <c r="C87" s="1" t="s">
        <v>46</v>
      </c>
      <c r="D87">
        <v>5.0999999999999996</v>
      </c>
      <c r="E87">
        <v>0</v>
      </c>
      <c r="F87">
        <v>0</v>
      </c>
      <c r="G87">
        <v>275</v>
      </c>
      <c r="H87" s="1" t="s">
        <v>54</v>
      </c>
      <c r="I87">
        <v>21.59</v>
      </c>
      <c r="J87">
        <v>11.06</v>
      </c>
      <c r="K87">
        <v>95</v>
      </c>
      <c r="L87">
        <v>128.32</v>
      </c>
      <c r="M87">
        <v>71</v>
      </c>
      <c r="N87">
        <v>2</v>
      </c>
      <c r="O87">
        <v>0</v>
      </c>
      <c r="P87">
        <v>84.19</v>
      </c>
      <c r="Q87">
        <v>0</v>
      </c>
      <c r="R87" s="1" t="s">
        <v>150</v>
      </c>
      <c r="S87" s="1" t="s">
        <v>165</v>
      </c>
      <c r="T87">
        <v>1.02</v>
      </c>
      <c r="U87" s="1"/>
      <c r="V87">
        <f t="shared" si="2"/>
        <v>47.4</v>
      </c>
    </row>
    <row r="88" spans="1:22" x14ac:dyDescent="0.4">
      <c r="A88">
        <v>68</v>
      </c>
      <c r="B88">
        <v>136</v>
      </c>
      <c r="C88" s="1" t="s">
        <v>53</v>
      </c>
      <c r="D88">
        <v>5.0999999999999996</v>
      </c>
      <c r="E88">
        <v>0</v>
      </c>
      <c r="F88">
        <v>0</v>
      </c>
      <c r="G88">
        <v>276</v>
      </c>
      <c r="H88" s="1" t="s">
        <v>21</v>
      </c>
      <c r="I88">
        <v>54.42</v>
      </c>
      <c r="J88">
        <v>8.33</v>
      </c>
      <c r="K88">
        <v>140</v>
      </c>
      <c r="L88">
        <v>218.96</v>
      </c>
      <c r="M88">
        <v>99</v>
      </c>
      <c r="N88">
        <v>4</v>
      </c>
      <c r="O88">
        <v>0</v>
      </c>
      <c r="P88">
        <v>122.55</v>
      </c>
      <c r="Q88">
        <v>0</v>
      </c>
      <c r="R88" s="1" t="s">
        <v>151</v>
      </c>
      <c r="S88" s="1" t="s">
        <v>165</v>
      </c>
      <c r="T88">
        <v>1.04</v>
      </c>
      <c r="U88" s="1"/>
      <c r="V88">
        <f t="shared" si="2"/>
        <v>47.4</v>
      </c>
    </row>
    <row r="89" spans="1:22" x14ac:dyDescent="0.4">
      <c r="A89">
        <v>94</v>
      </c>
      <c r="B89">
        <v>191</v>
      </c>
      <c r="C89" s="1" t="s">
        <v>49</v>
      </c>
      <c r="D89">
        <v>5.0999999999999996</v>
      </c>
      <c r="E89">
        <v>0</v>
      </c>
      <c r="F89">
        <v>3</v>
      </c>
      <c r="G89">
        <v>276</v>
      </c>
      <c r="H89" s="1" t="s">
        <v>23</v>
      </c>
      <c r="I89">
        <v>54.42</v>
      </c>
      <c r="J89">
        <v>9.0399999999999991</v>
      </c>
      <c r="K89">
        <v>85</v>
      </c>
      <c r="L89">
        <v>89.05</v>
      </c>
      <c r="M89">
        <v>64</v>
      </c>
      <c r="N89">
        <v>2</v>
      </c>
      <c r="O89">
        <v>0</v>
      </c>
      <c r="P89">
        <v>77.77</v>
      </c>
      <c r="Q89">
        <v>0</v>
      </c>
      <c r="R89" s="1" t="s">
        <v>152</v>
      </c>
      <c r="S89" s="1" t="s">
        <v>165</v>
      </c>
      <c r="T89">
        <v>1.0900000000000001</v>
      </c>
      <c r="U89" s="1"/>
      <c r="V89">
        <f t="shared" si="2"/>
        <v>47.4</v>
      </c>
    </row>
    <row r="90" spans="1:22" x14ac:dyDescent="0.4">
      <c r="A90">
        <v>45</v>
      </c>
      <c r="B90">
        <v>90</v>
      </c>
      <c r="C90" s="1" t="s">
        <v>35</v>
      </c>
      <c r="D90">
        <v>5.0999999999999996</v>
      </c>
      <c r="E90">
        <v>0</v>
      </c>
      <c r="F90">
        <v>0</v>
      </c>
      <c r="G90">
        <v>279</v>
      </c>
      <c r="H90" s="1" t="s">
        <v>24</v>
      </c>
      <c r="I90">
        <v>29.56</v>
      </c>
      <c r="J90">
        <v>13.66</v>
      </c>
      <c r="K90">
        <v>189</v>
      </c>
      <c r="L90">
        <v>330.29</v>
      </c>
      <c r="M90">
        <v>131</v>
      </c>
      <c r="N90">
        <v>4</v>
      </c>
      <c r="O90">
        <v>0</v>
      </c>
      <c r="P90">
        <v>164.49</v>
      </c>
      <c r="Q90">
        <v>0</v>
      </c>
      <c r="R90" s="1" t="s">
        <v>153</v>
      </c>
      <c r="S90" s="1" t="s">
        <v>165</v>
      </c>
      <c r="T90">
        <v>1.0900000000000001</v>
      </c>
      <c r="U90" s="1"/>
      <c r="V90">
        <f t="shared" si="2"/>
        <v>47.4</v>
      </c>
    </row>
    <row r="91" spans="1:22" x14ac:dyDescent="0.4">
      <c r="A91">
        <v>69</v>
      </c>
      <c r="B91">
        <v>139</v>
      </c>
      <c r="C91" s="1" t="s">
        <v>48</v>
      </c>
      <c r="D91">
        <v>5.0999999999999996</v>
      </c>
      <c r="E91">
        <v>0</v>
      </c>
      <c r="F91">
        <v>1</v>
      </c>
      <c r="G91">
        <v>280</v>
      </c>
      <c r="H91" s="1" t="s">
        <v>63</v>
      </c>
      <c r="I91">
        <v>60.98</v>
      </c>
      <c r="J91">
        <v>13.03</v>
      </c>
      <c r="K91">
        <v>141</v>
      </c>
      <c r="L91">
        <v>338.83</v>
      </c>
      <c r="M91">
        <v>91</v>
      </c>
      <c r="N91">
        <v>3</v>
      </c>
      <c r="O91">
        <v>0</v>
      </c>
      <c r="P91">
        <v>115.28</v>
      </c>
      <c r="Q91">
        <v>0</v>
      </c>
      <c r="R91" s="1" t="s">
        <v>154</v>
      </c>
      <c r="S91" s="1" t="s">
        <v>165</v>
      </c>
      <c r="T91">
        <v>1.02</v>
      </c>
      <c r="U91" s="1"/>
      <c r="V91">
        <f t="shared" si="2"/>
        <v>47.4</v>
      </c>
    </row>
    <row r="92" spans="1:22" x14ac:dyDescent="0.4">
      <c r="A92">
        <v>95</v>
      </c>
      <c r="B92">
        <v>190</v>
      </c>
      <c r="C92" s="1" t="s">
        <v>37</v>
      </c>
      <c r="D92">
        <v>5.0999999999999996</v>
      </c>
      <c r="E92">
        <v>0</v>
      </c>
      <c r="F92">
        <v>0</v>
      </c>
      <c r="G92">
        <v>282</v>
      </c>
      <c r="H92" s="1" t="s">
        <v>31</v>
      </c>
      <c r="I92">
        <v>58.45</v>
      </c>
      <c r="J92">
        <v>14.57</v>
      </c>
      <c r="K92">
        <v>92</v>
      </c>
      <c r="L92">
        <v>144.36000000000001</v>
      </c>
      <c r="M92">
        <v>65</v>
      </c>
      <c r="N92">
        <v>2</v>
      </c>
      <c r="O92">
        <v>0</v>
      </c>
      <c r="P92">
        <v>80.69</v>
      </c>
      <c r="Q92">
        <v>0</v>
      </c>
      <c r="R92" s="1" t="s">
        <v>155</v>
      </c>
      <c r="S92" s="1" t="s">
        <v>165</v>
      </c>
      <c r="T92">
        <v>1.06</v>
      </c>
      <c r="U92" s="1"/>
      <c r="V92">
        <f t="shared" si="2"/>
        <v>47.4</v>
      </c>
    </row>
    <row r="93" spans="1:22" x14ac:dyDescent="0.4">
      <c r="A93">
        <v>66</v>
      </c>
      <c r="B93">
        <v>139</v>
      </c>
      <c r="C93" s="1" t="s">
        <v>46</v>
      </c>
      <c r="D93">
        <v>5.0999999999999996</v>
      </c>
      <c r="E93">
        <v>0</v>
      </c>
      <c r="F93">
        <v>7</v>
      </c>
      <c r="G93">
        <v>286</v>
      </c>
      <c r="H93" s="1" t="s">
        <v>29</v>
      </c>
      <c r="I93">
        <v>33.94</v>
      </c>
      <c r="J93">
        <v>11.28</v>
      </c>
      <c r="K93">
        <v>147</v>
      </c>
      <c r="L93">
        <v>423.86</v>
      </c>
      <c r="M93">
        <v>77</v>
      </c>
      <c r="N93">
        <v>3</v>
      </c>
      <c r="O93">
        <v>0</v>
      </c>
      <c r="P93">
        <v>109</v>
      </c>
      <c r="Q93">
        <v>0</v>
      </c>
      <c r="R93" s="1" t="s">
        <v>156</v>
      </c>
      <c r="S93" s="1" t="s">
        <v>165</v>
      </c>
      <c r="T93">
        <v>0.91</v>
      </c>
      <c r="U93" s="1"/>
      <c r="V93">
        <f t="shared" si="2"/>
        <v>47.4</v>
      </c>
    </row>
    <row r="94" spans="1:22" x14ac:dyDescent="0.4">
      <c r="A94">
        <v>91</v>
      </c>
      <c r="B94">
        <v>182</v>
      </c>
      <c r="C94" s="1" t="s">
        <v>45</v>
      </c>
      <c r="D94">
        <v>5.0999999999999996</v>
      </c>
      <c r="E94">
        <v>0</v>
      </c>
      <c r="F94">
        <v>0</v>
      </c>
      <c r="G94">
        <v>288</v>
      </c>
      <c r="H94" s="1" t="s">
        <v>27</v>
      </c>
      <c r="I94">
        <v>39.119999999999997</v>
      </c>
      <c r="J94">
        <v>11.64</v>
      </c>
      <c r="K94">
        <v>106</v>
      </c>
      <c r="L94">
        <v>199.75</v>
      </c>
      <c r="M94">
        <v>69</v>
      </c>
      <c r="N94">
        <v>2</v>
      </c>
      <c r="O94">
        <v>0</v>
      </c>
      <c r="P94">
        <v>87.53</v>
      </c>
      <c r="Q94">
        <v>0</v>
      </c>
      <c r="R94" s="1" t="s">
        <v>157</v>
      </c>
      <c r="S94" s="1" t="s">
        <v>165</v>
      </c>
      <c r="T94">
        <v>0.89</v>
      </c>
      <c r="U94" s="1"/>
      <c r="V94">
        <f t="shared" si="2"/>
        <v>47.4</v>
      </c>
    </row>
    <row r="95" spans="1:22" x14ac:dyDescent="0.4">
      <c r="A95">
        <v>93</v>
      </c>
      <c r="B95">
        <v>186</v>
      </c>
      <c r="C95" s="1" t="s">
        <v>31</v>
      </c>
      <c r="D95">
        <v>5.0999999999999996</v>
      </c>
      <c r="E95">
        <v>0</v>
      </c>
      <c r="F95">
        <v>0</v>
      </c>
      <c r="G95">
        <v>289</v>
      </c>
      <c r="H95" s="1" t="s">
        <v>42</v>
      </c>
      <c r="I95">
        <v>58.81</v>
      </c>
      <c r="J95">
        <v>10.37</v>
      </c>
      <c r="K95">
        <v>103</v>
      </c>
      <c r="L95">
        <v>245.82</v>
      </c>
      <c r="M95">
        <v>56</v>
      </c>
      <c r="N95">
        <v>3</v>
      </c>
      <c r="O95">
        <v>0</v>
      </c>
      <c r="P95">
        <v>82.32</v>
      </c>
      <c r="Q95">
        <v>0</v>
      </c>
      <c r="R95" s="1" t="s">
        <v>158</v>
      </c>
      <c r="S95" s="1" t="s">
        <v>165</v>
      </c>
      <c r="T95">
        <v>0.92</v>
      </c>
      <c r="U95" s="1"/>
      <c r="V95">
        <f t="shared" si="2"/>
        <v>47.4</v>
      </c>
    </row>
    <row r="96" spans="1:22" x14ac:dyDescent="0.4">
      <c r="A96">
        <v>99</v>
      </c>
      <c r="B96">
        <v>198</v>
      </c>
      <c r="C96" s="1" t="s">
        <v>49</v>
      </c>
      <c r="D96">
        <v>5.0999999999999996</v>
      </c>
      <c r="E96">
        <v>0</v>
      </c>
      <c r="F96">
        <v>0</v>
      </c>
      <c r="G96">
        <v>290</v>
      </c>
      <c r="H96" s="1" t="s">
        <v>26</v>
      </c>
      <c r="I96">
        <v>59.98</v>
      </c>
      <c r="J96">
        <v>14.24</v>
      </c>
      <c r="K96">
        <v>92</v>
      </c>
      <c r="L96">
        <v>206.33</v>
      </c>
      <c r="M96">
        <v>59</v>
      </c>
      <c r="N96">
        <v>2</v>
      </c>
      <c r="O96">
        <v>0</v>
      </c>
      <c r="P96">
        <v>76.16</v>
      </c>
      <c r="Q96">
        <v>0</v>
      </c>
      <c r="R96" s="1" t="s">
        <v>159</v>
      </c>
      <c r="S96" s="1" t="s">
        <v>165</v>
      </c>
      <c r="T96">
        <v>1.1000000000000001</v>
      </c>
      <c r="U96" s="1"/>
      <c r="V96">
        <f t="shared" si="2"/>
        <v>47.4</v>
      </c>
    </row>
    <row r="97" spans="1:22" x14ac:dyDescent="0.4">
      <c r="A97">
        <v>50</v>
      </c>
      <c r="B97">
        <v>100</v>
      </c>
      <c r="C97" s="1" t="s">
        <v>51</v>
      </c>
      <c r="D97">
        <v>5.0999999999999996</v>
      </c>
      <c r="E97">
        <v>0</v>
      </c>
      <c r="F97">
        <v>0</v>
      </c>
      <c r="G97">
        <v>293</v>
      </c>
      <c r="H97" s="1" t="s">
        <v>53</v>
      </c>
      <c r="I97">
        <v>38.72</v>
      </c>
      <c r="J97">
        <v>10.83</v>
      </c>
      <c r="K97">
        <v>193</v>
      </c>
      <c r="L97">
        <v>477.71</v>
      </c>
      <c r="M97">
        <v>120</v>
      </c>
      <c r="N97">
        <v>5</v>
      </c>
      <c r="O97">
        <v>0</v>
      </c>
      <c r="P97">
        <v>147.76</v>
      </c>
      <c r="Q97">
        <v>0</v>
      </c>
      <c r="R97" s="1" t="s">
        <v>160</v>
      </c>
      <c r="S97" s="1" t="s">
        <v>165</v>
      </c>
      <c r="T97">
        <v>0.85</v>
      </c>
      <c r="U97" s="1"/>
      <c r="V97">
        <f t="shared" si="2"/>
        <v>47.4</v>
      </c>
    </row>
    <row r="98" spans="1:22" x14ac:dyDescent="0.4">
      <c r="A98">
        <v>67</v>
      </c>
      <c r="B98">
        <v>147</v>
      </c>
      <c r="C98" s="1" t="s">
        <v>41</v>
      </c>
      <c r="D98">
        <v>5.0999999999999996</v>
      </c>
      <c r="E98">
        <v>0</v>
      </c>
      <c r="F98">
        <v>13</v>
      </c>
      <c r="G98">
        <v>293</v>
      </c>
      <c r="H98" s="1" t="s">
        <v>27</v>
      </c>
      <c r="I98">
        <v>39.119999999999997</v>
      </c>
      <c r="J98">
        <v>11.85</v>
      </c>
      <c r="K98">
        <v>146</v>
      </c>
      <c r="L98">
        <v>386.28</v>
      </c>
      <c r="M98">
        <v>71</v>
      </c>
      <c r="N98">
        <v>4</v>
      </c>
      <c r="O98">
        <v>0</v>
      </c>
      <c r="P98">
        <v>110.33</v>
      </c>
      <c r="Q98">
        <v>0</v>
      </c>
      <c r="R98" s="1" t="s">
        <v>161</v>
      </c>
      <c r="S98" s="1" t="s">
        <v>165</v>
      </c>
      <c r="T98">
        <v>0.91</v>
      </c>
      <c r="U98" s="1"/>
      <c r="V98">
        <f t="shared" si="2"/>
        <v>47.4</v>
      </c>
    </row>
    <row r="99" spans="1:22" x14ac:dyDescent="0.4">
      <c r="A99">
        <v>98</v>
      </c>
      <c r="B99">
        <v>197</v>
      </c>
      <c r="C99" s="1" t="s">
        <v>26</v>
      </c>
      <c r="D99">
        <v>5.0999999999999996</v>
      </c>
      <c r="E99">
        <v>0</v>
      </c>
      <c r="F99">
        <v>1</v>
      </c>
      <c r="G99">
        <v>297</v>
      </c>
      <c r="H99" s="1" t="s">
        <v>53</v>
      </c>
      <c r="I99">
        <v>38.72</v>
      </c>
      <c r="J99">
        <v>13.65</v>
      </c>
      <c r="K99">
        <v>100</v>
      </c>
      <c r="L99">
        <v>298.51</v>
      </c>
      <c r="M99">
        <v>53</v>
      </c>
      <c r="N99">
        <v>3</v>
      </c>
      <c r="O99">
        <v>0</v>
      </c>
      <c r="P99">
        <v>78.67</v>
      </c>
      <c r="Q99">
        <v>0</v>
      </c>
      <c r="R99" s="1" t="s">
        <v>162</v>
      </c>
      <c r="S99" s="1" t="s">
        <v>165</v>
      </c>
      <c r="T99">
        <v>1.1200000000000001</v>
      </c>
      <c r="U99" s="1"/>
      <c r="V99">
        <f t="shared" si="2"/>
        <v>47.4</v>
      </c>
    </row>
    <row r="100" spans="1:22" x14ac:dyDescent="0.4">
      <c r="A100">
        <v>88</v>
      </c>
      <c r="B100">
        <v>176</v>
      </c>
      <c r="C100" s="1" t="s">
        <v>30</v>
      </c>
      <c r="D100">
        <v>5.0999999999999996</v>
      </c>
      <c r="E100">
        <v>0</v>
      </c>
      <c r="F100">
        <v>0</v>
      </c>
      <c r="G100">
        <v>329</v>
      </c>
      <c r="H100" s="1" t="s">
        <v>63</v>
      </c>
      <c r="I100">
        <v>60.98</v>
      </c>
      <c r="J100">
        <v>12.75</v>
      </c>
      <c r="K100">
        <v>153</v>
      </c>
      <c r="L100">
        <v>244.22</v>
      </c>
      <c r="M100">
        <v>114</v>
      </c>
      <c r="N100">
        <v>3</v>
      </c>
      <c r="O100">
        <v>0</v>
      </c>
      <c r="P100">
        <v>132.80000000000001</v>
      </c>
      <c r="Q100">
        <v>0</v>
      </c>
      <c r="R100" s="1" t="s">
        <v>163</v>
      </c>
      <c r="S100" s="1" t="s">
        <v>165</v>
      </c>
      <c r="T100">
        <v>1.01</v>
      </c>
      <c r="U100" s="1"/>
      <c r="V100">
        <f t="shared" si="2"/>
        <v>47.4</v>
      </c>
    </row>
    <row r="101" spans="1:22" x14ac:dyDescent="0.4">
      <c r="A101">
        <v>97</v>
      </c>
      <c r="B101">
        <v>195</v>
      </c>
      <c r="C101" s="1" t="s">
        <v>38</v>
      </c>
      <c r="D101">
        <v>5.0999999999999996</v>
      </c>
      <c r="E101">
        <v>0</v>
      </c>
      <c r="F101">
        <v>1</v>
      </c>
      <c r="G101">
        <v>411</v>
      </c>
      <c r="H101" s="1" t="s">
        <v>51</v>
      </c>
      <c r="I101">
        <v>38.72</v>
      </c>
      <c r="J101">
        <v>11.84</v>
      </c>
      <c r="K101">
        <v>216</v>
      </c>
      <c r="L101">
        <v>379.04</v>
      </c>
      <c r="M101">
        <v>155</v>
      </c>
      <c r="N101">
        <v>4</v>
      </c>
      <c r="O101">
        <v>0</v>
      </c>
      <c r="P101">
        <v>182.66</v>
      </c>
      <c r="Q101">
        <v>0</v>
      </c>
      <c r="R101" s="1" t="s">
        <v>164</v>
      </c>
      <c r="S101" s="1" t="s">
        <v>165</v>
      </c>
      <c r="T101">
        <v>0.91</v>
      </c>
      <c r="U101" s="1"/>
      <c r="V101">
        <f t="shared" si="2"/>
        <v>47.4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GLAB-PC002</dc:creator>
  <cp:lastModifiedBy>T123093</cp:lastModifiedBy>
  <dcterms:created xsi:type="dcterms:W3CDTF">2026-04-17T07:02:49Z</dcterms:created>
  <dcterms:modified xsi:type="dcterms:W3CDTF">2026-04-17T07:02:49Z</dcterms:modified>
</cp:coreProperties>
</file>