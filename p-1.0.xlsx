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AB-PC002\Desktop\sumo_project\"/>
    </mc:Choice>
  </mc:AlternateContent>
  <xr:revisionPtr revIDLastSave="0" documentId="13_ncr:1_{5B393122-2AB1-4110-B057-46ACD5FB2B86}" xr6:coauthVersionLast="47" xr6:coauthVersionMax="47" xr10:uidLastSave="{00000000-0000-0000-0000-000000000000}"/>
  <bookViews>
    <workbookView xWindow="780" yWindow="780" windowWidth="21600" windowHeight="11295" xr2:uid="{37AB8F44-6CE5-491C-8134-0C6CCB608F37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0" i="1" l="1"/>
  <c r="V4" i="1"/>
  <c r="V2" i="1"/>
  <c r="V3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99E546-8816-4F6D-ADB5-02B87F79E617}" name="tripinfo" type="4" refreshedVersion="0" background="1">
    <webPr xml="1" sourceData="1" url="C:\Users\GLAB-PC002\Desktop\sumo_project\tripinfo.xml" htmlTables="1" htmlFormat="all"/>
  </connection>
</connections>
</file>

<file path=xl/sharedStrings.xml><?xml version="1.0" encoding="utf-8"?>
<sst xmlns="http://schemas.openxmlformats.org/spreadsheetml/2006/main" count="255" uniqueCount="128">
  <si>
    <t>id</t>
    <phoneticPr fontId="1"/>
  </si>
  <si>
    <t>depart</t>
    <phoneticPr fontId="1"/>
  </si>
  <si>
    <t>departLane</t>
    <phoneticPr fontId="1"/>
  </si>
  <si>
    <t>departPos</t>
    <phoneticPr fontId="1"/>
  </si>
  <si>
    <t>departSpeed</t>
    <phoneticPr fontId="1"/>
  </si>
  <si>
    <t>departDelay</t>
    <phoneticPr fontId="1"/>
  </si>
  <si>
    <t>arrival</t>
    <phoneticPr fontId="1"/>
  </si>
  <si>
    <t>arrivalLane</t>
    <phoneticPr fontId="1"/>
  </si>
  <si>
    <t>arrivalPos</t>
    <phoneticPr fontId="1"/>
  </si>
  <si>
    <t>arrivalSpeed</t>
    <phoneticPr fontId="1"/>
  </si>
  <si>
    <t>duration</t>
    <phoneticPr fontId="1"/>
  </si>
  <si>
    <t>routeLength</t>
    <phoneticPr fontId="1"/>
  </si>
  <si>
    <t>waitingTime</t>
    <phoneticPr fontId="1"/>
  </si>
  <si>
    <t>waitingCount</t>
    <phoneticPr fontId="1"/>
  </si>
  <si>
    <t>stopTime</t>
    <phoneticPr fontId="1"/>
  </si>
  <si>
    <t>timeLoss</t>
    <phoneticPr fontId="1"/>
  </si>
  <si>
    <t>rerouteNo</t>
    <phoneticPr fontId="1"/>
  </si>
  <si>
    <t>devices</t>
    <phoneticPr fontId="1"/>
  </si>
  <si>
    <t>vType</t>
    <phoneticPr fontId="1"/>
  </si>
  <si>
    <t>speedFactor</t>
    <phoneticPr fontId="1"/>
  </si>
  <si>
    <t>vaporized</t>
    <phoneticPr fontId="1"/>
  </si>
  <si>
    <t>E0_0</t>
  </si>
  <si>
    <t>-E9_0</t>
  </si>
  <si>
    <t>-E7_0</t>
  </si>
  <si>
    <t>E10_0</t>
  </si>
  <si>
    <t>-E5_0</t>
  </si>
  <si>
    <t>-E13_0</t>
  </si>
  <si>
    <t>E2_0</t>
  </si>
  <si>
    <t>E5_0</t>
  </si>
  <si>
    <t>E1_0</t>
  </si>
  <si>
    <t>-E3_0</t>
  </si>
  <si>
    <t>-E16_0</t>
  </si>
  <si>
    <t>-E2_0</t>
  </si>
  <si>
    <t>-E10_0</t>
  </si>
  <si>
    <t>E11_0</t>
  </si>
  <si>
    <t>-E14_0</t>
  </si>
  <si>
    <t>-E21_0</t>
  </si>
  <si>
    <t>-E19_0</t>
  </si>
  <si>
    <t>E9_0</t>
  </si>
  <si>
    <t>-E1_0</t>
  </si>
  <si>
    <t>-E15_0</t>
  </si>
  <si>
    <t>E7_0</t>
  </si>
  <si>
    <t>E3_0</t>
  </si>
  <si>
    <t>-E12_0</t>
  </si>
  <si>
    <t>-E20_0</t>
  </si>
  <si>
    <t>-E6_0</t>
  </si>
  <si>
    <t>-E22_0</t>
  </si>
  <si>
    <t>-E18_0</t>
  </si>
  <si>
    <t>E6_0</t>
  </si>
  <si>
    <t>-E17_0</t>
  </si>
  <si>
    <t>-E8_0</t>
  </si>
  <si>
    <t>-E0_0</t>
  </si>
  <si>
    <t>-E23_0</t>
  </si>
  <si>
    <t>E12_0</t>
  </si>
  <si>
    <t>E16_0</t>
  </si>
  <si>
    <t>E18_0</t>
  </si>
  <si>
    <t>E13_0</t>
  </si>
  <si>
    <t>E23_0</t>
  </si>
  <si>
    <t>E15_0</t>
  </si>
  <si>
    <t>E17_0</t>
  </si>
  <si>
    <t>E20_0</t>
  </si>
  <si>
    <t>-E4_0</t>
  </si>
  <si>
    <t>E21_0</t>
  </si>
  <si>
    <t>E22_0</t>
  </si>
  <si>
    <t>E19_0</t>
  </si>
  <si>
    <t>-E11_0</t>
  </si>
  <si>
    <t>E14_0</t>
  </si>
  <si>
    <t>tripinfo_3</t>
  </si>
  <si>
    <t>tripinfo_13</t>
  </si>
  <si>
    <t>tripinfo_10</t>
  </si>
  <si>
    <t>tripinfo_30</t>
  </si>
  <si>
    <t>tripinfo_15</t>
  </si>
  <si>
    <t>tripinfo_1</t>
  </si>
  <si>
    <t>tripinfo_14</t>
  </si>
  <si>
    <t>tripinfo_28</t>
  </si>
  <si>
    <t>tripinfo_4</t>
  </si>
  <si>
    <t>tripinfo_20</t>
  </si>
  <si>
    <t>tripinfo_17</t>
  </si>
  <si>
    <t>tripinfo_34</t>
  </si>
  <si>
    <t>tripinfo_42</t>
  </si>
  <si>
    <t>tripinfo_2</t>
  </si>
  <si>
    <t>tripinfo_26</t>
  </si>
  <si>
    <t>tripinfo_45</t>
  </si>
  <si>
    <t>tripinfo_31</t>
  </si>
  <si>
    <t>tripinfo_29</t>
  </si>
  <si>
    <t>tripinfo_18</t>
  </si>
  <si>
    <t>tripinfo_19</t>
  </si>
  <si>
    <t>tripinfo_35</t>
  </si>
  <si>
    <t>tripinfo_24</t>
  </si>
  <si>
    <t>tripinfo_41</t>
  </si>
  <si>
    <t>tripinfo_65</t>
  </si>
  <si>
    <t>tripinfo_8</t>
  </si>
  <si>
    <t>tripinfo_43</t>
  </si>
  <si>
    <t>tripinfo_62</t>
  </si>
  <si>
    <t>tripinfo_90</t>
  </si>
  <si>
    <t>tripinfo_11</t>
  </si>
  <si>
    <t>tripinfo_105</t>
  </si>
  <si>
    <t>tripinfo_33</t>
  </si>
  <si>
    <t>tripinfo_63</t>
  </si>
  <si>
    <t>tripinfo_110</t>
  </si>
  <si>
    <t>tripinfo_23</t>
  </si>
  <si>
    <t>tripinfo_22</t>
  </si>
  <si>
    <t>tripinfo_70</t>
  </si>
  <si>
    <t>tripinfo_77</t>
  </si>
  <si>
    <t>tripinfo_86</t>
  </si>
  <si>
    <t>tripinfo_54</t>
  </si>
  <si>
    <t>tripinfo_32</t>
  </si>
  <si>
    <t>tripinfo_99</t>
  </si>
  <si>
    <t>tripinfo_85</t>
  </si>
  <si>
    <t>tripinfo_87</t>
  </si>
  <si>
    <t>tripinfo_152</t>
  </si>
  <si>
    <t>tripinfo_139</t>
  </si>
  <si>
    <t>tripinfo_37</t>
  </si>
  <si>
    <t>tripinfo_47</t>
  </si>
  <si>
    <t>tripinfo_53</t>
  </si>
  <si>
    <t>tripinfo_108</t>
  </si>
  <si>
    <t>tripinfo_89</t>
  </si>
  <si>
    <t>tripinfo_197</t>
  </si>
  <si>
    <t>tripinfo_100</t>
  </si>
  <si>
    <t>tripinfo_81</t>
  </si>
  <si>
    <t>tripinfo_58</t>
  </si>
  <si>
    <t>tripinfo_55</t>
  </si>
  <si>
    <t>tripinfo_133</t>
  </si>
  <si>
    <t>tripinfo_144</t>
  </si>
  <si>
    <t>tripinfo_6</t>
  </si>
  <si>
    <t>DEFAULT_VEHTYPE</t>
  </si>
  <si>
    <t>teleport</t>
  </si>
  <si>
    <t>列1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</si>
</sst>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ripinfos">
        <xsd:complexType>
          <xsd:sequence minOccurs="0">
            <xsd:element minOccurs="0" maxOccurs="unbounded" nillable="true" name="tripinfo" form="unqualified">
              <xsd:complexType>
                <xsd:attribute name="id" form="unqualified" type="xsd:integer"/>
                <xsd:attribute name="depart" form="unqualified" type="xsd:double"/>
                <xsd:attribute name="departLane" form="unqualified" type="xsd:string"/>
                <xsd:attribute name="departPos" form="unqualified" type="xsd:double"/>
                <xsd:attribute name="departSpeed" form="unqualified" type="xsd:double"/>
                <xsd:attribute name="departDelay" form="unqualified" type="xsd:double"/>
                <xsd:attribute name="arrival" form="unqualified" type="xsd:double"/>
                <xsd:attribute name="arrivalLane" form="unqualified" type="xsd:string"/>
                <xsd:attribute name="arrivalPos" form="unqualified" type="xsd:double"/>
                <xsd:attribute name="arrivalSpeed" form="unqualified" type="xsd:double"/>
                <xsd:attribute name="duration" form="unqualified" type="xsd:double"/>
                <xsd:attribute name="routeLength" form="unqualified" type="xsd:double"/>
                <xsd:attribute name="waitingTime" form="unqualified" type="xsd:double"/>
                <xsd:attribute name="waitingCount" form="unqualified" type="xsd:integer"/>
                <xsd:attribute name="stopTime" form="unqualified" type="xsd:double"/>
                <xsd:attribute name="timeLoss" form="unqualified" type="xsd:double"/>
                <xsd:attribute name="rerouteNo" form="unqualified" type="xsd:integer"/>
                <xsd:attribute name="devices" form="unqualified" type="xsd:string"/>
                <xsd:attribute name="vType" form="unqualified" type="xsd:string"/>
                <xsd:attribute name="speedFactor" form="unqualified" type="xsd:double"/>
                <xsd:attribute name="vaporized" form="unqualified" type="xsd:string"/>
              </xsd:complexType>
            </xsd:element>
          </xsd:sequence>
        </xsd:complexType>
      </xsd:element>
    </xsd:schema>
  </Schema>
  <Map ID="1" Name="tripinfos_対応付け" RootElement="tripinfo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xmlMaps" Target="xmlMap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F391EA-EDA4-4F69-9931-C4388B2470BC}" name="テーブル1" displayName="テーブル1" ref="A1:V60" tableType="xml" totalsRowCount="1" connectionId="1">
  <autoFilter ref="A1:V59" xr:uid="{AAF391EA-EDA4-4F69-9931-C4388B2470BC}"/>
  <tableColumns count="22">
    <tableColumn id="1" xr3:uid="{69657BFA-CB21-416F-A61F-DE9DEEE010DB}" uniqueName="id" name="id">
      <xmlColumnPr mapId="1" xpath="/tripinfos/tripinfo/@id" xmlDataType="integer"/>
    </tableColumn>
    <tableColumn id="2" xr3:uid="{CA44B223-A779-4697-8C2B-BC221C5DBC86}" uniqueName="depart" name="depart">
      <xmlColumnPr mapId="1" xpath="/tripinfos/tripinfo/@depart" xmlDataType="double"/>
    </tableColumn>
    <tableColumn id="3" xr3:uid="{EEAED511-6F1A-4C91-9709-D026F605E971}" uniqueName="departLane" name="departLane">
      <xmlColumnPr mapId="1" xpath="/tripinfos/tripinfo/@departLane" xmlDataType="string"/>
    </tableColumn>
    <tableColumn id="4" xr3:uid="{76F1FDF1-90A4-4037-813D-65FAA69C8CD1}" uniqueName="departPos" name="departPos">
      <xmlColumnPr mapId="1" xpath="/tripinfos/tripinfo/@departPos" xmlDataType="double"/>
    </tableColumn>
    <tableColumn id="5" xr3:uid="{CD0BA054-505C-4D14-B027-F4063C9AEAFB}" uniqueName="departSpeed" name="departSpeed">
      <xmlColumnPr mapId="1" xpath="/tripinfos/tripinfo/@departSpeed" xmlDataType="double"/>
    </tableColumn>
    <tableColumn id="6" xr3:uid="{7AD5DC3C-9330-4105-9F81-4E8D137BF855}" uniqueName="departDelay" name="departDelay">
      <xmlColumnPr mapId="1" xpath="/tripinfos/tripinfo/@departDelay" xmlDataType="double"/>
    </tableColumn>
    <tableColumn id="7" xr3:uid="{376D91C5-4426-4C00-AF47-6614E90BF803}" uniqueName="arrival" name="arrival">
      <xmlColumnPr mapId="1" xpath="/tripinfos/tripinfo/@arrival" xmlDataType="double"/>
    </tableColumn>
    <tableColumn id="8" xr3:uid="{812EF25F-6E44-44E4-9951-3B931028DF3C}" uniqueName="arrivalLane" name="arrivalLane">
      <xmlColumnPr mapId="1" xpath="/tripinfos/tripinfo/@arrivalLane" xmlDataType="string"/>
    </tableColumn>
    <tableColumn id="9" xr3:uid="{9F2672EE-45BE-4DBC-AC73-60E9DE60C1A5}" uniqueName="arrivalPos" name="arrivalPos">
      <xmlColumnPr mapId="1" xpath="/tripinfos/tripinfo/@arrivalPos" xmlDataType="double"/>
    </tableColumn>
    <tableColumn id="10" xr3:uid="{070848B2-BA8E-483F-A7A8-7AB3106D247E}" uniqueName="arrivalSpeed" name="arrivalSpeed">
      <xmlColumnPr mapId="1" xpath="/tripinfos/tripinfo/@arrivalSpeed" xmlDataType="double"/>
    </tableColumn>
    <tableColumn id="11" xr3:uid="{AE24A650-897C-4430-8729-C5CA3EA4F364}" uniqueName="duration" name="duration">
      <xmlColumnPr mapId="1" xpath="/tripinfos/tripinfo/@duration" xmlDataType="double"/>
    </tableColumn>
    <tableColumn id="12" xr3:uid="{CDF3DBAF-4B28-47B8-ABC1-64D1313EAADA}" uniqueName="routeLength" name="routeLength">
      <xmlColumnPr mapId="1" xpath="/tripinfos/tripinfo/@routeLength" xmlDataType="double"/>
    </tableColumn>
    <tableColumn id="13" xr3:uid="{15C55956-7B4F-482D-815E-6F86B15833AD}" uniqueName="waitingTime" name="waitingTime">
      <xmlColumnPr mapId="1" xpath="/tripinfos/tripinfo/@waitingTime" xmlDataType="double"/>
    </tableColumn>
    <tableColumn id="14" xr3:uid="{228F4038-A903-42F6-843B-7F024E716E99}" uniqueName="waitingCount" name="waitingCount" totalsRowFunction="custom">
      <totalsRowFormula>AVERAGE(M:M)</totalsRowFormula>
      <xmlColumnPr mapId="1" xpath="/tripinfos/tripinfo/@waitingCount" xmlDataType="integer"/>
    </tableColumn>
    <tableColumn id="15" xr3:uid="{91230318-E667-4FE1-813B-72041AA672DF}" uniqueName="stopTime" name="stopTime">
      <xmlColumnPr mapId="1" xpath="/tripinfos/tripinfo/@stopTime" xmlDataType="double"/>
    </tableColumn>
    <tableColumn id="16" xr3:uid="{6921AB86-4332-48B0-90E9-32153131C4C0}" uniqueName="timeLoss" name="timeLoss">
      <xmlColumnPr mapId="1" xpath="/tripinfos/tripinfo/@timeLoss" xmlDataType="double"/>
    </tableColumn>
    <tableColumn id="17" xr3:uid="{70B8A673-0BD2-4B96-9FB1-F69538491FC9}" uniqueName="rerouteNo" name="rerouteNo">
      <xmlColumnPr mapId="1" xpath="/tripinfos/tripinfo/@rerouteNo" xmlDataType="integer"/>
    </tableColumn>
    <tableColumn id="18" xr3:uid="{C2DD1C6C-CD11-4834-9406-5F937ED859F7}" uniqueName="devices" name="devices">
      <xmlColumnPr mapId="1" xpath="/tripinfos/tripinfo/@devices" xmlDataType="string"/>
    </tableColumn>
    <tableColumn id="19" xr3:uid="{E1C43E1D-A010-4ADF-B2B8-1ABF2D2648B8}" uniqueName="vType" name="vType">
      <xmlColumnPr mapId="1" xpath="/tripinfos/tripinfo/@vType" xmlDataType="string"/>
    </tableColumn>
    <tableColumn id="20" xr3:uid="{FA8E9B82-60B1-4E3A-A4F1-73F289CF109D}" uniqueName="speedFactor" name="speedFactor">
      <xmlColumnPr mapId="1" xpath="/tripinfos/tripinfo/@speedFactor" xmlDataType="double"/>
    </tableColumn>
    <tableColumn id="21" xr3:uid="{09E70193-3BA7-4FF4-BA88-4A5E92F73BC3}" uniqueName="vaporized" name="vaporized">
      <xmlColumnPr mapId="1" xpath="/tripinfos/tripinfo/@vaporized" xmlDataType="string"/>
    </tableColumn>
    <tableColumn id="22" xr3:uid="{22EF2ED9-8C04-4C43-81A9-E26FE75A996E}" uniqueName="22" name="列1" dataDxfId="1" totalsRowDxfId="0">
      <calculatedColumnFormula>N58=AVERAGE(M:M)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0"/>
  <sheetViews>
    <sheetView tabSelected="1" topLeftCell="K49" workbookViewId="0">
      <selection activeCell="N60" sqref="N60"/>
    </sheetView>
  </sheetViews>
  <sheetFormatPr defaultRowHeight="18.75" x14ac:dyDescent="0.4"/>
  <cols>
    <col min="1" max="1" width="5.375" bestFit="1" customWidth="1"/>
    <col min="2" max="2" width="9.75" bestFit="1" customWidth="1"/>
    <col min="3" max="3" width="14.5" bestFit="1" customWidth="1"/>
    <col min="4" max="4" width="13.25" bestFit="1" customWidth="1"/>
    <col min="5" max="5" width="15.875" bestFit="1" customWidth="1"/>
    <col min="6" max="6" width="15.25" bestFit="1" customWidth="1"/>
    <col min="7" max="7" width="9.5" bestFit="1" customWidth="1"/>
    <col min="8" max="8" width="14.125" bestFit="1" customWidth="1"/>
    <col min="9" max="9" width="12.875" bestFit="1" customWidth="1"/>
    <col min="10" max="10" width="15.625" bestFit="1" customWidth="1"/>
    <col min="11" max="11" width="11.375" bestFit="1" customWidth="1"/>
    <col min="12" max="12" width="15.25" bestFit="1" customWidth="1"/>
    <col min="13" max="13" width="15.375" bestFit="1" customWidth="1"/>
    <col min="14" max="14" width="16.375" bestFit="1" customWidth="1"/>
    <col min="15" max="15" width="12.375" bestFit="1" customWidth="1"/>
    <col min="16" max="16" width="12.125" bestFit="1" customWidth="1"/>
    <col min="17" max="17" width="13.25" bestFit="1" customWidth="1"/>
    <col min="18" max="18" width="11.75" bestFit="1" customWidth="1"/>
    <col min="19" max="19" width="20.5" bestFit="1" customWidth="1"/>
    <col min="20" max="20" width="15.625" bestFit="1" customWidth="1"/>
    <col min="21" max="21" width="12.5" bestFit="1" customWidth="1"/>
  </cols>
  <sheetData>
    <row r="1" spans="1:2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127</v>
      </c>
    </row>
    <row r="2" spans="1:22" x14ac:dyDescent="0.4">
      <c r="A2">
        <v>3</v>
      </c>
      <c r="B2">
        <v>3</v>
      </c>
      <c r="C2" s="1" t="s">
        <v>21</v>
      </c>
      <c r="D2">
        <v>5.0999999999999996</v>
      </c>
      <c r="E2">
        <v>0</v>
      </c>
      <c r="F2">
        <v>0</v>
      </c>
      <c r="G2">
        <v>10</v>
      </c>
      <c r="H2" s="1" t="s">
        <v>21</v>
      </c>
      <c r="I2">
        <v>59.98</v>
      </c>
      <c r="J2">
        <v>14.43</v>
      </c>
      <c r="K2">
        <v>7</v>
      </c>
      <c r="L2">
        <v>54.88</v>
      </c>
      <c r="M2">
        <v>0</v>
      </c>
      <c r="N2">
        <v>0</v>
      </c>
      <c r="O2">
        <v>0</v>
      </c>
      <c r="P2">
        <v>3.27</v>
      </c>
      <c r="Q2">
        <v>0</v>
      </c>
      <c r="R2" s="1" t="s">
        <v>67</v>
      </c>
      <c r="S2" s="1" t="s">
        <v>125</v>
      </c>
      <c r="T2">
        <v>1.08</v>
      </c>
      <c r="U2" s="1"/>
      <c r="V2" t="b">
        <f t="shared" ref="V2:V33" si="0">N58=AVERAGE(M:M)</f>
        <v>0</v>
      </c>
    </row>
    <row r="3" spans="1:22" x14ac:dyDescent="0.4">
      <c r="A3">
        <v>13</v>
      </c>
      <c r="B3">
        <v>13</v>
      </c>
      <c r="C3" s="1" t="s">
        <v>22</v>
      </c>
      <c r="D3">
        <v>5.0999999999999996</v>
      </c>
      <c r="E3">
        <v>0</v>
      </c>
      <c r="F3">
        <v>0</v>
      </c>
      <c r="G3">
        <v>22</v>
      </c>
      <c r="H3" s="1" t="s">
        <v>53</v>
      </c>
      <c r="I3">
        <v>30.33</v>
      </c>
      <c r="J3">
        <v>15.1</v>
      </c>
      <c r="K3">
        <v>9</v>
      </c>
      <c r="L3">
        <v>80.709999999999994</v>
      </c>
      <c r="M3">
        <v>0</v>
      </c>
      <c r="N3">
        <v>0</v>
      </c>
      <c r="O3">
        <v>0</v>
      </c>
      <c r="P3">
        <v>3.55</v>
      </c>
      <c r="Q3">
        <v>0</v>
      </c>
      <c r="R3" s="1" t="s">
        <v>68</v>
      </c>
      <c r="S3" s="1" t="s">
        <v>125</v>
      </c>
      <c r="T3">
        <v>1.1200000000000001</v>
      </c>
      <c r="U3" s="1"/>
      <c r="V3" t="b">
        <f t="shared" si="0"/>
        <v>0</v>
      </c>
    </row>
    <row r="4" spans="1:22" x14ac:dyDescent="0.4">
      <c r="A4">
        <v>10</v>
      </c>
      <c r="B4">
        <v>10</v>
      </c>
      <c r="C4" s="1" t="s">
        <v>22</v>
      </c>
      <c r="D4">
        <v>5.0999999999999996</v>
      </c>
      <c r="E4">
        <v>0</v>
      </c>
      <c r="F4">
        <v>0</v>
      </c>
      <c r="G4">
        <v>29</v>
      </c>
      <c r="H4" s="1" t="s">
        <v>32</v>
      </c>
      <c r="I4">
        <v>39.119999999999997</v>
      </c>
      <c r="J4">
        <v>14.34</v>
      </c>
      <c r="K4">
        <v>19</v>
      </c>
      <c r="L4">
        <v>152.07</v>
      </c>
      <c r="M4">
        <v>0</v>
      </c>
      <c r="N4">
        <v>0</v>
      </c>
      <c r="O4">
        <v>0</v>
      </c>
      <c r="P4">
        <v>6.93</v>
      </c>
      <c r="Q4">
        <v>0</v>
      </c>
      <c r="R4" s="1" t="s">
        <v>69</v>
      </c>
      <c r="S4" s="1" t="s">
        <v>125</v>
      </c>
      <c r="T4">
        <v>1.0900000000000001</v>
      </c>
      <c r="U4" s="1"/>
      <c r="V4" t="b">
        <f>N60=AVERAGE(M:M)</f>
        <v>1</v>
      </c>
    </row>
    <row r="5" spans="1:22" x14ac:dyDescent="0.4">
      <c r="A5">
        <v>30</v>
      </c>
      <c r="B5">
        <v>35</v>
      </c>
      <c r="C5" s="1" t="s">
        <v>23</v>
      </c>
      <c r="D5">
        <v>5.0999999999999996</v>
      </c>
      <c r="E5">
        <v>0</v>
      </c>
      <c r="F5">
        <v>5</v>
      </c>
      <c r="G5">
        <v>44</v>
      </c>
      <c r="H5" s="1" t="s">
        <v>54</v>
      </c>
      <c r="I5">
        <v>35.57</v>
      </c>
      <c r="J5">
        <v>14.4</v>
      </c>
      <c r="K5">
        <v>9</v>
      </c>
      <c r="L5">
        <v>69.760000000000005</v>
      </c>
      <c r="M5">
        <v>0</v>
      </c>
      <c r="N5">
        <v>0</v>
      </c>
      <c r="O5">
        <v>0</v>
      </c>
      <c r="P5">
        <v>4.13</v>
      </c>
      <c r="Q5">
        <v>0</v>
      </c>
      <c r="R5" s="1" t="s">
        <v>70</v>
      </c>
      <c r="S5" s="1" t="s">
        <v>125</v>
      </c>
      <c r="T5">
        <v>1.18</v>
      </c>
      <c r="U5" s="1"/>
      <c r="V5" t="b">
        <f t="shared" si="0"/>
        <v>0</v>
      </c>
    </row>
    <row r="6" spans="1:22" x14ac:dyDescent="0.4">
      <c r="A6">
        <v>15</v>
      </c>
      <c r="B6">
        <v>16</v>
      </c>
      <c r="C6" s="1" t="s">
        <v>22</v>
      </c>
      <c r="D6">
        <v>5.0999999999999996</v>
      </c>
      <c r="E6">
        <v>0</v>
      </c>
      <c r="F6">
        <v>1</v>
      </c>
      <c r="G6">
        <v>56</v>
      </c>
      <c r="H6" s="1" t="s">
        <v>55</v>
      </c>
      <c r="I6">
        <v>25.15</v>
      </c>
      <c r="J6">
        <v>12.72</v>
      </c>
      <c r="K6">
        <v>40</v>
      </c>
      <c r="L6">
        <v>302.44</v>
      </c>
      <c r="M6">
        <v>2</v>
      </c>
      <c r="N6">
        <v>1</v>
      </c>
      <c r="O6">
        <v>0</v>
      </c>
      <c r="P6">
        <v>13.6</v>
      </c>
      <c r="Q6">
        <v>0</v>
      </c>
      <c r="R6" s="1" t="s">
        <v>71</v>
      </c>
      <c r="S6" s="1" t="s">
        <v>125</v>
      </c>
      <c r="T6">
        <v>0.93</v>
      </c>
      <c r="U6" s="1"/>
      <c r="V6" t="b">
        <f t="shared" si="0"/>
        <v>0</v>
      </c>
    </row>
    <row r="7" spans="1:22" x14ac:dyDescent="0.4">
      <c r="A7">
        <v>1</v>
      </c>
      <c r="B7">
        <v>1</v>
      </c>
      <c r="C7" s="1" t="s">
        <v>24</v>
      </c>
      <c r="D7">
        <v>5.0999999999999996</v>
      </c>
      <c r="E7">
        <v>0</v>
      </c>
      <c r="F7">
        <v>0</v>
      </c>
      <c r="G7">
        <v>57</v>
      </c>
      <c r="H7" s="1" t="s">
        <v>56</v>
      </c>
      <c r="I7">
        <v>27.85</v>
      </c>
      <c r="J7">
        <v>12.31</v>
      </c>
      <c r="K7">
        <v>56</v>
      </c>
      <c r="L7">
        <v>264.97000000000003</v>
      </c>
      <c r="M7">
        <v>19</v>
      </c>
      <c r="N7">
        <v>1</v>
      </c>
      <c r="O7">
        <v>0</v>
      </c>
      <c r="P7">
        <v>33.56</v>
      </c>
      <c r="Q7">
        <v>0</v>
      </c>
      <c r="R7" s="1" t="s">
        <v>72</v>
      </c>
      <c r="S7" s="1" t="s">
        <v>125</v>
      </c>
      <c r="T7">
        <v>0.94</v>
      </c>
      <c r="U7" s="1"/>
      <c r="V7" t="b">
        <f t="shared" si="0"/>
        <v>0</v>
      </c>
    </row>
    <row r="8" spans="1:22" x14ac:dyDescent="0.4">
      <c r="A8">
        <v>14</v>
      </c>
      <c r="B8">
        <v>14</v>
      </c>
      <c r="C8" s="1" t="s">
        <v>25</v>
      </c>
      <c r="D8">
        <v>5.0999999999999996</v>
      </c>
      <c r="E8">
        <v>0</v>
      </c>
      <c r="F8">
        <v>0</v>
      </c>
      <c r="G8">
        <v>57</v>
      </c>
      <c r="H8" s="1" t="s">
        <v>29</v>
      </c>
      <c r="I8">
        <v>58.45</v>
      </c>
      <c r="J8">
        <v>10.32</v>
      </c>
      <c r="K8">
        <v>43</v>
      </c>
      <c r="L8">
        <v>234.69</v>
      </c>
      <c r="M8">
        <v>6</v>
      </c>
      <c r="N8">
        <v>1</v>
      </c>
      <c r="O8">
        <v>0</v>
      </c>
      <c r="P8">
        <v>23.5</v>
      </c>
      <c r="Q8">
        <v>0</v>
      </c>
      <c r="R8" s="1" t="s">
        <v>73</v>
      </c>
      <c r="S8" s="1" t="s">
        <v>125</v>
      </c>
      <c r="T8">
        <v>0.99</v>
      </c>
      <c r="U8" s="1"/>
      <c r="V8" t="b">
        <f t="shared" si="0"/>
        <v>0</v>
      </c>
    </row>
    <row r="9" spans="1:22" x14ac:dyDescent="0.4">
      <c r="A9">
        <v>28</v>
      </c>
      <c r="B9">
        <v>28</v>
      </c>
      <c r="C9" s="1" t="s">
        <v>26</v>
      </c>
      <c r="D9">
        <v>5.0999999999999996</v>
      </c>
      <c r="E9">
        <v>0</v>
      </c>
      <c r="F9">
        <v>0</v>
      </c>
      <c r="G9">
        <v>58</v>
      </c>
      <c r="H9" s="1" t="s">
        <v>53</v>
      </c>
      <c r="I9">
        <v>30.33</v>
      </c>
      <c r="J9">
        <v>13.26</v>
      </c>
      <c r="K9">
        <v>30</v>
      </c>
      <c r="L9">
        <v>130.05000000000001</v>
      </c>
      <c r="M9">
        <v>9</v>
      </c>
      <c r="N9">
        <v>1</v>
      </c>
      <c r="O9">
        <v>0</v>
      </c>
      <c r="P9">
        <v>20.100000000000001</v>
      </c>
      <c r="Q9">
        <v>0</v>
      </c>
      <c r="R9" s="1" t="s">
        <v>74</v>
      </c>
      <c r="S9" s="1" t="s">
        <v>125</v>
      </c>
      <c r="T9">
        <v>1.1299999999999999</v>
      </c>
      <c r="U9" s="1"/>
      <c r="V9" t="b">
        <f t="shared" si="0"/>
        <v>0</v>
      </c>
    </row>
    <row r="10" spans="1:22" x14ac:dyDescent="0.4">
      <c r="A10">
        <v>4</v>
      </c>
      <c r="B10">
        <v>4</v>
      </c>
      <c r="C10" s="1" t="s">
        <v>27</v>
      </c>
      <c r="D10">
        <v>5.0999999999999996</v>
      </c>
      <c r="E10">
        <v>0</v>
      </c>
      <c r="F10">
        <v>0</v>
      </c>
      <c r="G10">
        <v>60</v>
      </c>
      <c r="H10" s="1" t="s">
        <v>57</v>
      </c>
      <c r="I10">
        <v>39.96</v>
      </c>
      <c r="J10">
        <v>13.37</v>
      </c>
      <c r="K10">
        <v>56</v>
      </c>
      <c r="L10">
        <v>161.61000000000001</v>
      </c>
      <c r="M10">
        <v>33</v>
      </c>
      <c r="N10">
        <v>2</v>
      </c>
      <c r="O10">
        <v>0</v>
      </c>
      <c r="P10">
        <v>43.95</v>
      </c>
      <c r="Q10">
        <v>0</v>
      </c>
      <c r="R10" s="1" t="s">
        <v>75</v>
      </c>
      <c r="S10" s="1" t="s">
        <v>125</v>
      </c>
      <c r="T10">
        <v>1.03</v>
      </c>
      <c r="U10" s="1"/>
      <c r="V10" t="b">
        <f t="shared" si="0"/>
        <v>0</v>
      </c>
    </row>
    <row r="11" spans="1:22" x14ac:dyDescent="0.4">
      <c r="A11">
        <v>20</v>
      </c>
      <c r="B11">
        <v>20</v>
      </c>
      <c r="C11" s="1" t="s">
        <v>28</v>
      </c>
      <c r="D11">
        <v>5.0999999999999996</v>
      </c>
      <c r="E11">
        <v>0</v>
      </c>
      <c r="F11">
        <v>0</v>
      </c>
      <c r="G11">
        <v>62</v>
      </c>
      <c r="H11" s="1" t="s">
        <v>57</v>
      </c>
      <c r="I11">
        <v>39.96</v>
      </c>
      <c r="J11">
        <v>13.82</v>
      </c>
      <c r="K11">
        <v>42</v>
      </c>
      <c r="L11">
        <v>285.47000000000003</v>
      </c>
      <c r="M11">
        <v>6</v>
      </c>
      <c r="N11">
        <v>1</v>
      </c>
      <c r="O11">
        <v>0</v>
      </c>
      <c r="P11">
        <v>19.88</v>
      </c>
      <c r="Q11">
        <v>0</v>
      </c>
      <c r="R11" s="1" t="s">
        <v>76</v>
      </c>
      <c r="S11" s="1" t="s">
        <v>125</v>
      </c>
      <c r="T11">
        <v>1.02</v>
      </c>
      <c r="U11" s="1"/>
      <c r="V11" t="b">
        <f t="shared" si="0"/>
        <v>0</v>
      </c>
    </row>
    <row r="12" spans="1:22" x14ac:dyDescent="0.4">
      <c r="A12">
        <v>17</v>
      </c>
      <c r="B12">
        <v>17</v>
      </c>
      <c r="C12" s="1" t="s">
        <v>29</v>
      </c>
      <c r="D12">
        <v>5.0999999999999996</v>
      </c>
      <c r="E12">
        <v>0</v>
      </c>
      <c r="F12">
        <v>0</v>
      </c>
      <c r="G12">
        <v>64</v>
      </c>
      <c r="H12" s="1" t="s">
        <v>58</v>
      </c>
      <c r="I12">
        <v>42.32</v>
      </c>
      <c r="J12">
        <v>12.57</v>
      </c>
      <c r="K12">
        <v>47</v>
      </c>
      <c r="L12">
        <v>159.27000000000001</v>
      </c>
      <c r="M12">
        <v>23</v>
      </c>
      <c r="N12">
        <v>1</v>
      </c>
      <c r="O12">
        <v>0</v>
      </c>
      <c r="P12">
        <v>33.08</v>
      </c>
      <c r="Q12">
        <v>0</v>
      </c>
      <c r="R12" s="1" t="s">
        <v>77</v>
      </c>
      <c r="S12" s="1" t="s">
        <v>125</v>
      </c>
      <c r="T12">
        <v>0.94</v>
      </c>
      <c r="U12" s="1"/>
      <c r="V12" t="b">
        <f t="shared" si="0"/>
        <v>0</v>
      </c>
    </row>
    <row r="13" spans="1:22" x14ac:dyDescent="0.4">
      <c r="A13">
        <v>34</v>
      </c>
      <c r="B13">
        <v>34</v>
      </c>
      <c r="C13" s="1" t="s">
        <v>30</v>
      </c>
      <c r="D13">
        <v>5.0999999999999996</v>
      </c>
      <c r="E13">
        <v>0</v>
      </c>
      <c r="F13">
        <v>0</v>
      </c>
      <c r="G13">
        <v>66</v>
      </c>
      <c r="H13" s="1" t="s">
        <v>59</v>
      </c>
      <c r="I13">
        <v>36.04</v>
      </c>
      <c r="J13">
        <v>13.05</v>
      </c>
      <c r="K13">
        <v>32</v>
      </c>
      <c r="L13">
        <v>185.53</v>
      </c>
      <c r="M13">
        <v>3</v>
      </c>
      <c r="N13">
        <v>1</v>
      </c>
      <c r="O13">
        <v>0</v>
      </c>
      <c r="P13">
        <v>16.52</v>
      </c>
      <c r="Q13">
        <v>0</v>
      </c>
      <c r="R13" s="1" t="s">
        <v>78</v>
      </c>
      <c r="S13" s="1" t="s">
        <v>125</v>
      </c>
      <c r="T13">
        <v>0.99</v>
      </c>
      <c r="U13" s="1"/>
      <c r="V13" t="b">
        <f t="shared" si="0"/>
        <v>0</v>
      </c>
    </row>
    <row r="14" spans="1:22" x14ac:dyDescent="0.4">
      <c r="A14">
        <v>42</v>
      </c>
      <c r="B14">
        <v>42</v>
      </c>
      <c r="C14" s="1" t="s">
        <v>31</v>
      </c>
      <c r="D14">
        <v>5.0999999999999996</v>
      </c>
      <c r="E14">
        <v>0</v>
      </c>
      <c r="F14">
        <v>0</v>
      </c>
      <c r="G14">
        <v>66</v>
      </c>
      <c r="H14" s="1" t="s">
        <v>60</v>
      </c>
      <c r="I14">
        <v>21.59</v>
      </c>
      <c r="J14">
        <v>14.47</v>
      </c>
      <c r="K14">
        <v>24</v>
      </c>
      <c r="L14">
        <v>111.27</v>
      </c>
      <c r="M14">
        <v>4</v>
      </c>
      <c r="N14">
        <v>1</v>
      </c>
      <c r="O14">
        <v>0</v>
      </c>
      <c r="P14">
        <v>15.15</v>
      </c>
      <c r="Q14">
        <v>0</v>
      </c>
      <c r="R14" s="1" t="s">
        <v>79</v>
      </c>
      <c r="S14" s="1" t="s">
        <v>125</v>
      </c>
      <c r="T14">
        <v>1.0900000000000001</v>
      </c>
      <c r="U14" s="1"/>
      <c r="V14" t="b">
        <f t="shared" si="0"/>
        <v>0</v>
      </c>
    </row>
    <row r="15" spans="1:22" x14ac:dyDescent="0.4">
      <c r="A15">
        <v>2</v>
      </c>
      <c r="B15">
        <v>2</v>
      </c>
      <c r="C15" s="1" t="s">
        <v>32</v>
      </c>
      <c r="D15">
        <v>5.0999999999999996</v>
      </c>
      <c r="E15">
        <v>0</v>
      </c>
      <c r="F15">
        <v>0</v>
      </c>
      <c r="G15">
        <v>96</v>
      </c>
      <c r="H15" s="1" t="s">
        <v>57</v>
      </c>
      <c r="I15">
        <v>39.96</v>
      </c>
      <c r="J15">
        <v>13.4</v>
      </c>
      <c r="K15">
        <v>94</v>
      </c>
      <c r="L15">
        <v>207.5</v>
      </c>
      <c r="M15">
        <v>63</v>
      </c>
      <c r="N15">
        <v>2</v>
      </c>
      <c r="O15">
        <v>0</v>
      </c>
      <c r="P15">
        <v>76.819999999999993</v>
      </c>
      <c r="Q15">
        <v>0</v>
      </c>
      <c r="R15" s="1" t="s">
        <v>80</v>
      </c>
      <c r="S15" s="1" t="s">
        <v>125</v>
      </c>
      <c r="T15">
        <v>1.01</v>
      </c>
      <c r="U15" s="1"/>
      <c r="V15" t="b">
        <f t="shared" si="0"/>
        <v>0</v>
      </c>
    </row>
    <row r="16" spans="1:22" x14ac:dyDescent="0.4">
      <c r="A16">
        <v>26</v>
      </c>
      <c r="B16">
        <v>26</v>
      </c>
      <c r="C16" s="1" t="s">
        <v>33</v>
      </c>
      <c r="D16">
        <v>5.0999999999999996</v>
      </c>
      <c r="E16">
        <v>0</v>
      </c>
      <c r="F16">
        <v>0</v>
      </c>
      <c r="G16">
        <v>96</v>
      </c>
      <c r="H16" s="1" t="s">
        <v>25</v>
      </c>
      <c r="I16">
        <v>60.98</v>
      </c>
      <c r="J16">
        <v>5.23</v>
      </c>
      <c r="K16">
        <v>70</v>
      </c>
      <c r="L16">
        <v>230.12</v>
      </c>
      <c r="M16">
        <v>36</v>
      </c>
      <c r="N16">
        <v>1</v>
      </c>
      <c r="O16">
        <v>0</v>
      </c>
      <c r="P16">
        <v>50.06</v>
      </c>
      <c r="Q16">
        <v>0</v>
      </c>
      <c r="R16" s="1" t="s">
        <v>81</v>
      </c>
      <c r="S16" s="1" t="s">
        <v>125</v>
      </c>
      <c r="T16">
        <v>0.92</v>
      </c>
      <c r="U16" s="1"/>
      <c r="V16" t="b">
        <f t="shared" si="0"/>
        <v>0</v>
      </c>
    </row>
    <row r="17" spans="1:22" x14ac:dyDescent="0.4">
      <c r="A17">
        <v>45</v>
      </c>
      <c r="B17">
        <v>45</v>
      </c>
      <c r="C17" s="1" t="s">
        <v>34</v>
      </c>
      <c r="D17">
        <v>5.0999999999999996</v>
      </c>
      <c r="E17">
        <v>0</v>
      </c>
      <c r="F17">
        <v>0</v>
      </c>
      <c r="G17">
        <v>98</v>
      </c>
      <c r="H17" s="1" t="s">
        <v>39</v>
      </c>
      <c r="I17">
        <v>58.45</v>
      </c>
      <c r="J17">
        <v>13.9</v>
      </c>
      <c r="K17">
        <v>53</v>
      </c>
      <c r="L17">
        <v>101.88</v>
      </c>
      <c r="M17">
        <v>35</v>
      </c>
      <c r="N17">
        <v>1</v>
      </c>
      <c r="O17">
        <v>0</v>
      </c>
      <c r="P17">
        <v>45.09</v>
      </c>
      <c r="Q17">
        <v>0</v>
      </c>
      <c r="R17" s="1" t="s">
        <v>82</v>
      </c>
      <c r="S17" s="1" t="s">
        <v>125</v>
      </c>
      <c r="T17">
        <v>1.0900000000000001</v>
      </c>
      <c r="U17" s="1"/>
      <c r="V17" t="b">
        <f t="shared" si="0"/>
        <v>0</v>
      </c>
    </row>
    <row r="18" spans="1:22" x14ac:dyDescent="0.4">
      <c r="A18">
        <v>31</v>
      </c>
      <c r="B18">
        <v>31</v>
      </c>
      <c r="C18" s="1" t="s">
        <v>35</v>
      </c>
      <c r="D18">
        <v>5.0999999999999996</v>
      </c>
      <c r="E18">
        <v>0</v>
      </c>
      <c r="F18">
        <v>0</v>
      </c>
      <c r="G18">
        <v>101</v>
      </c>
      <c r="H18" s="1" t="s">
        <v>54</v>
      </c>
      <c r="I18">
        <v>35.57</v>
      </c>
      <c r="J18">
        <v>13.16</v>
      </c>
      <c r="K18">
        <v>70</v>
      </c>
      <c r="L18">
        <v>126.06</v>
      </c>
      <c r="M18">
        <v>44</v>
      </c>
      <c r="N18">
        <v>2</v>
      </c>
      <c r="O18">
        <v>0</v>
      </c>
      <c r="P18">
        <v>61.61</v>
      </c>
      <c r="Q18">
        <v>0</v>
      </c>
      <c r="R18" s="1" t="s">
        <v>83</v>
      </c>
      <c r="S18" s="1" t="s">
        <v>125</v>
      </c>
      <c r="T18">
        <v>1.1499999999999999</v>
      </c>
      <c r="U18" s="1"/>
      <c r="V18" t="b">
        <f t="shared" si="0"/>
        <v>0</v>
      </c>
    </row>
    <row r="19" spans="1:22" x14ac:dyDescent="0.4">
      <c r="A19">
        <v>29</v>
      </c>
      <c r="B19">
        <v>30</v>
      </c>
      <c r="C19" s="1" t="s">
        <v>23</v>
      </c>
      <c r="D19">
        <v>5.0999999999999996</v>
      </c>
      <c r="E19">
        <v>0</v>
      </c>
      <c r="F19">
        <v>1</v>
      </c>
      <c r="G19">
        <v>102</v>
      </c>
      <c r="H19" s="1" t="s">
        <v>30</v>
      </c>
      <c r="I19">
        <v>33.94</v>
      </c>
      <c r="J19">
        <v>11.71</v>
      </c>
      <c r="K19">
        <v>72</v>
      </c>
      <c r="L19">
        <v>337.27</v>
      </c>
      <c r="M19">
        <v>19</v>
      </c>
      <c r="N19">
        <v>1</v>
      </c>
      <c r="O19">
        <v>0</v>
      </c>
      <c r="P19">
        <v>42.43</v>
      </c>
      <c r="Q19">
        <v>0</v>
      </c>
      <c r="R19" s="1" t="s">
        <v>84</v>
      </c>
      <c r="S19" s="1" t="s">
        <v>125</v>
      </c>
      <c r="T19">
        <v>0.93</v>
      </c>
      <c r="U19" s="1"/>
      <c r="V19" t="b">
        <f t="shared" si="0"/>
        <v>0</v>
      </c>
    </row>
    <row r="20" spans="1:22" x14ac:dyDescent="0.4">
      <c r="A20">
        <v>18</v>
      </c>
      <c r="B20">
        <v>18</v>
      </c>
      <c r="C20" s="1" t="s">
        <v>36</v>
      </c>
      <c r="D20">
        <v>5.0999999999999996</v>
      </c>
      <c r="E20">
        <v>0</v>
      </c>
      <c r="F20">
        <v>0</v>
      </c>
      <c r="G20">
        <v>103</v>
      </c>
      <c r="H20" s="1" t="s">
        <v>34</v>
      </c>
      <c r="I20">
        <v>38.72</v>
      </c>
      <c r="J20">
        <v>11.31</v>
      </c>
      <c r="K20">
        <v>85</v>
      </c>
      <c r="L20">
        <v>301.75</v>
      </c>
      <c r="M20">
        <v>44</v>
      </c>
      <c r="N20">
        <v>1</v>
      </c>
      <c r="O20">
        <v>0</v>
      </c>
      <c r="P20">
        <v>59.26</v>
      </c>
      <c r="Q20">
        <v>0</v>
      </c>
      <c r="R20" s="1" t="s">
        <v>85</v>
      </c>
      <c r="S20" s="1" t="s">
        <v>125</v>
      </c>
      <c r="T20">
        <v>0.94</v>
      </c>
      <c r="U20" s="1"/>
      <c r="V20" t="b">
        <f t="shared" si="0"/>
        <v>0</v>
      </c>
    </row>
    <row r="21" spans="1:22" x14ac:dyDescent="0.4">
      <c r="A21">
        <v>19</v>
      </c>
      <c r="B21">
        <v>19</v>
      </c>
      <c r="C21" s="1" t="s">
        <v>37</v>
      </c>
      <c r="D21">
        <v>5.0999999999999996</v>
      </c>
      <c r="E21">
        <v>0</v>
      </c>
      <c r="F21">
        <v>0</v>
      </c>
      <c r="G21">
        <v>103</v>
      </c>
      <c r="H21" s="1" t="s">
        <v>61</v>
      </c>
      <c r="I21">
        <v>27.1</v>
      </c>
      <c r="J21">
        <v>11.53</v>
      </c>
      <c r="K21">
        <v>84</v>
      </c>
      <c r="L21">
        <v>125.09</v>
      </c>
      <c r="M21">
        <v>57</v>
      </c>
      <c r="N21">
        <v>3</v>
      </c>
      <c r="O21">
        <v>0</v>
      </c>
      <c r="P21">
        <v>74.83</v>
      </c>
      <c r="Q21">
        <v>0</v>
      </c>
      <c r="R21" s="1" t="s">
        <v>86</v>
      </c>
      <c r="S21" s="1" t="s">
        <v>125</v>
      </c>
      <c r="T21">
        <v>1.1599999999999999</v>
      </c>
      <c r="U21" s="1"/>
      <c r="V21" t="b">
        <f t="shared" si="0"/>
        <v>0</v>
      </c>
    </row>
    <row r="22" spans="1:22" x14ac:dyDescent="0.4">
      <c r="A22">
        <v>35</v>
      </c>
      <c r="B22">
        <v>35</v>
      </c>
      <c r="C22" s="1" t="s">
        <v>35</v>
      </c>
      <c r="D22">
        <v>5.0999999999999996</v>
      </c>
      <c r="E22">
        <v>0</v>
      </c>
      <c r="F22">
        <v>0</v>
      </c>
      <c r="G22">
        <v>105</v>
      </c>
      <c r="H22" s="1" t="s">
        <v>39</v>
      </c>
      <c r="I22">
        <v>58.45</v>
      </c>
      <c r="J22">
        <v>13.75</v>
      </c>
      <c r="K22">
        <v>70</v>
      </c>
      <c r="L22">
        <v>144.36000000000001</v>
      </c>
      <c r="M22">
        <v>40</v>
      </c>
      <c r="N22">
        <v>2</v>
      </c>
      <c r="O22">
        <v>0</v>
      </c>
      <c r="P22">
        <v>58.4</v>
      </c>
      <c r="Q22">
        <v>0</v>
      </c>
      <c r="R22" s="1" t="s">
        <v>87</v>
      </c>
      <c r="S22" s="1" t="s">
        <v>125</v>
      </c>
      <c r="T22">
        <v>1.02</v>
      </c>
      <c r="U22" s="1"/>
      <c r="V22" t="b">
        <f t="shared" si="0"/>
        <v>0</v>
      </c>
    </row>
    <row r="23" spans="1:22" x14ac:dyDescent="0.4">
      <c r="A23">
        <v>24</v>
      </c>
      <c r="B23">
        <v>24</v>
      </c>
      <c r="C23" s="1" t="s">
        <v>38</v>
      </c>
      <c r="D23">
        <v>5.0999999999999996</v>
      </c>
      <c r="E23">
        <v>0</v>
      </c>
      <c r="F23">
        <v>0</v>
      </c>
      <c r="G23">
        <v>107</v>
      </c>
      <c r="H23" s="1" t="s">
        <v>34</v>
      </c>
      <c r="I23">
        <v>38.72</v>
      </c>
      <c r="J23">
        <v>10.79</v>
      </c>
      <c r="K23">
        <v>83</v>
      </c>
      <c r="L23">
        <v>283.81</v>
      </c>
      <c r="M23">
        <v>33</v>
      </c>
      <c r="N23">
        <v>3</v>
      </c>
      <c r="O23">
        <v>0</v>
      </c>
      <c r="P23">
        <v>54.52</v>
      </c>
      <c r="Q23">
        <v>0</v>
      </c>
      <c r="R23" s="1" t="s">
        <v>88</v>
      </c>
      <c r="S23" s="1" t="s">
        <v>125</v>
      </c>
      <c r="T23">
        <v>0.83</v>
      </c>
      <c r="U23" s="1"/>
      <c r="V23" t="b">
        <f t="shared" si="0"/>
        <v>0</v>
      </c>
    </row>
    <row r="24" spans="1:22" x14ac:dyDescent="0.4">
      <c r="A24">
        <v>41</v>
      </c>
      <c r="B24">
        <v>41</v>
      </c>
      <c r="C24" s="1" t="s">
        <v>39</v>
      </c>
      <c r="D24">
        <v>5.0999999999999996</v>
      </c>
      <c r="E24">
        <v>0</v>
      </c>
      <c r="F24">
        <v>0</v>
      </c>
      <c r="G24">
        <v>110</v>
      </c>
      <c r="H24" s="1" t="s">
        <v>32</v>
      </c>
      <c r="I24">
        <v>39.119999999999997</v>
      </c>
      <c r="J24">
        <v>12.41</v>
      </c>
      <c r="K24">
        <v>69</v>
      </c>
      <c r="L24">
        <v>294.11</v>
      </c>
      <c r="M24">
        <v>24</v>
      </c>
      <c r="N24">
        <v>1</v>
      </c>
      <c r="O24">
        <v>0</v>
      </c>
      <c r="P24">
        <v>44.48</v>
      </c>
      <c r="Q24">
        <v>0</v>
      </c>
      <c r="R24" s="1" t="s">
        <v>89</v>
      </c>
      <c r="S24" s="1" t="s">
        <v>125</v>
      </c>
      <c r="T24">
        <v>0.96</v>
      </c>
      <c r="U24" s="1"/>
      <c r="V24" t="b">
        <f t="shared" si="0"/>
        <v>0</v>
      </c>
    </row>
    <row r="25" spans="1:22" x14ac:dyDescent="0.4">
      <c r="A25">
        <v>65</v>
      </c>
      <c r="B25">
        <v>65</v>
      </c>
      <c r="C25" s="1" t="s">
        <v>26</v>
      </c>
      <c r="D25">
        <v>5.0999999999999996</v>
      </c>
      <c r="E25">
        <v>0</v>
      </c>
      <c r="F25">
        <v>0</v>
      </c>
      <c r="G25">
        <v>112</v>
      </c>
      <c r="H25" s="1" t="s">
        <v>58</v>
      </c>
      <c r="I25">
        <v>42.32</v>
      </c>
      <c r="J25">
        <v>11.61</v>
      </c>
      <c r="K25">
        <v>47</v>
      </c>
      <c r="L25">
        <v>157.83000000000001</v>
      </c>
      <c r="M25">
        <v>21</v>
      </c>
      <c r="N25">
        <v>1</v>
      </c>
      <c r="O25">
        <v>0</v>
      </c>
      <c r="P25">
        <v>32.479999999999997</v>
      </c>
      <c r="Q25">
        <v>0</v>
      </c>
      <c r="R25" s="1" t="s">
        <v>90</v>
      </c>
      <c r="S25" s="1" t="s">
        <v>125</v>
      </c>
      <c r="T25">
        <v>0.88</v>
      </c>
      <c r="U25" s="1"/>
      <c r="V25" t="b">
        <f t="shared" si="0"/>
        <v>0</v>
      </c>
    </row>
    <row r="26" spans="1:22" x14ac:dyDescent="0.4">
      <c r="A26">
        <v>8</v>
      </c>
      <c r="B26">
        <v>8</v>
      </c>
      <c r="C26" s="1" t="s">
        <v>40</v>
      </c>
      <c r="D26">
        <v>5.0999999999999996</v>
      </c>
      <c r="E26">
        <v>0</v>
      </c>
      <c r="F26">
        <v>0</v>
      </c>
      <c r="G26">
        <v>116</v>
      </c>
      <c r="H26" s="1" t="s">
        <v>62</v>
      </c>
      <c r="I26">
        <v>16.21</v>
      </c>
      <c r="J26">
        <v>12.25</v>
      </c>
      <c r="K26">
        <v>108</v>
      </c>
      <c r="L26">
        <v>306.10000000000002</v>
      </c>
      <c r="M26">
        <v>64</v>
      </c>
      <c r="N26">
        <v>2</v>
      </c>
      <c r="O26">
        <v>0</v>
      </c>
      <c r="P26">
        <v>83.26</v>
      </c>
      <c r="Q26">
        <v>0</v>
      </c>
      <c r="R26" s="1" t="s">
        <v>91</v>
      </c>
      <c r="S26" s="1" t="s">
        <v>125</v>
      </c>
      <c r="T26">
        <v>0.94</v>
      </c>
      <c r="U26" s="1"/>
      <c r="V26" t="b">
        <f t="shared" si="0"/>
        <v>0</v>
      </c>
    </row>
    <row r="27" spans="1:22" x14ac:dyDescent="0.4">
      <c r="A27">
        <v>43</v>
      </c>
      <c r="B27">
        <v>43</v>
      </c>
      <c r="C27" s="1" t="s">
        <v>41</v>
      </c>
      <c r="D27">
        <v>5.0999999999999996</v>
      </c>
      <c r="E27">
        <v>0</v>
      </c>
      <c r="F27">
        <v>0</v>
      </c>
      <c r="G27">
        <v>118</v>
      </c>
      <c r="H27" s="1" t="s">
        <v>62</v>
      </c>
      <c r="I27">
        <v>16.21</v>
      </c>
      <c r="J27">
        <v>14.14</v>
      </c>
      <c r="K27">
        <v>75</v>
      </c>
      <c r="L27">
        <v>195.43</v>
      </c>
      <c r="M27">
        <v>43</v>
      </c>
      <c r="N27">
        <v>2</v>
      </c>
      <c r="O27">
        <v>0</v>
      </c>
      <c r="P27">
        <v>60.36</v>
      </c>
      <c r="Q27">
        <v>0</v>
      </c>
      <c r="R27" s="1" t="s">
        <v>92</v>
      </c>
      <c r="S27" s="1" t="s">
        <v>125</v>
      </c>
      <c r="T27">
        <v>1.04</v>
      </c>
      <c r="U27" s="1"/>
      <c r="V27" t="b">
        <f t="shared" si="0"/>
        <v>0</v>
      </c>
    </row>
    <row r="28" spans="1:22" x14ac:dyDescent="0.4">
      <c r="A28">
        <v>62</v>
      </c>
      <c r="B28">
        <v>62</v>
      </c>
      <c r="C28" s="1" t="s">
        <v>42</v>
      </c>
      <c r="D28">
        <v>5.0999999999999996</v>
      </c>
      <c r="E28">
        <v>0</v>
      </c>
      <c r="F28">
        <v>0</v>
      </c>
      <c r="G28">
        <v>119</v>
      </c>
      <c r="H28" s="1" t="s">
        <v>63</v>
      </c>
      <c r="I28">
        <v>33.36</v>
      </c>
      <c r="J28">
        <v>13.16</v>
      </c>
      <c r="K28">
        <v>57</v>
      </c>
      <c r="L28">
        <v>182.94</v>
      </c>
      <c r="M28">
        <v>26</v>
      </c>
      <c r="N28">
        <v>1</v>
      </c>
      <c r="O28">
        <v>0</v>
      </c>
      <c r="P28">
        <v>41.74</v>
      </c>
      <c r="Q28">
        <v>0</v>
      </c>
      <c r="R28" s="1" t="s">
        <v>93</v>
      </c>
      <c r="S28" s="1" t="s">
        <v>125</v>
      </c>
      <c r="T28">
        <v>1.02</v>
      </c>
      <c r="U28" s="1"/>
      <c r="V28" t="b">
        <f t="shared" si="0"/>
        <v>0</v>
      </c>
    </row>
    <row r="29" spans="1:22" x14ac:dyDescent="0.4">
      <c r="A29">
        <v>90</v>
      </c>
      <c r="B29">
        <v>90</v>
      </c>
      <c r="C29" s="1" t="s">
        <v>43</v>
      </c>
      <c r="D29">
        <v>5.0999999999999996</v>
      </c>
      <c r="E29">
        <v>0</v>
      </c>
      <c r="F29">
        <v>0</v>
      </c>
      <c r="G29">
        <v>119</v>
      </c>
      <c r="H29" s="1" t="s">
        <v>24</v>
      </c>
      <c r="I29">
        <v>63.43</v>
      </c>
      <c r="J29">
        <v>8.33</v>
      </c>
      <c r="K29">
        <v>29</v>
      </c>
      <c r="L29">
        <v>176.34</v>
      </c>
      <c r="M29">
        <v>7</v>
      </c>
      <c r="N29">
        <v>1</v>
      </c>
      <c r="O29">
        <v>0</v>
      </c>
      <c r="P29">
        <v>15.7</v>
      </c>
      <c r="Q29">
        <v>0</v>
      </c>
      <c r="R29" s="1" t="s">
        <v>94</v>
      </c>
      <c r="S29" s="1" t="s">
        <v>125</v>
      </c>
      <c r="T29">
        <v>1.02</v>
      </c>
      <c r="U29" s="1"/>
      <c r="V29" t="b">
        <f t="shared" si="0"/>
        <v>0</v>
      </c>
    </row>
    <row r="30" spans="1:22" x14ac:dyDescent="0.4">
      <c r="A30">
        <v>11</v>
      </c>
      <c r="B30">
        <v>11</v>
      </c>
      <c r="C30" s="1" t="s">
        <v>44</v>
      </c>
      <c r="D30">
        <v>5.0999999999999996</v>
      </c>
      <c r="E30">
        <v>0</v>
      </c>
      <c r="F30">
        <v>0</v>
      </c>
      <c r="G30">
        <v>124</v>
      </c>
      <c r="H30" s="1" t="s">
        <v>62</v>
      </c>
      <c r="I30">
        <v>16.21</v>
      </c>
      <c r="J30">
        <v>13.43</v>
      </c>
      <c r="K30">
        <v>113</v>
      </c>
      <c r="L30">
        <v>191.73</v>
      </c>
      <c r="M30">
        <v>78</v>
      </c>
      <c r="N30">
        <v>3</v>
      </c>
      <c r="O30">
        <v>0</v>
      </c>
      <c r="P30">
        <v>98.52</v>
      </c>
      <c r="Q30">
        <v>0</v>
      </c>
      <c r="R30" s="1" t="s">
        <v>95</v>
      </c>
      <c r="S30" s="1" t="s">
        <v>125</v>
      </c>
      <c r="T30">
        <v>1.03</v>
      </c>
      <c r="U30" s="1"/>
      <c r="V30" t="b">
        <f t="shared" si="0"/>
        <v>0</v>
      </c>
    </row>
    <row r="31" spans="1:22" x14ac:dyDescent="0.4">
      <c r="A31">
        <v>105</v>
      </c>
      <c r="B31">
        <v>113</v>
      </c>
      <c r="C31" s="1" t="s">
        <v>45</v>
      </c>
      <c r="D31">
        <v>5.0999999999999996</v>
      </c>
      <c r="E31">
        <v>0</v>
      </c>
      <c r="F31">
        <v>8</v>
      </c>
      <c r="G31">
        <v>126</v>
      </c>
      <c r="H31" s="1" t="s">
        <v>64</v>
      </c>
      <c r="I31">
        <v>18.28</v>
      </c>
      <c r="J31">
        <v>11.71</v>
      </c>
      <c r="K31">
        <v>13</v>
      </c>
      <c r="L31">
        <v>82.38</v>
      </c>
      <c r="M31">
        <v>0</v>
      </c>
      <c r="N31">
        <v>0</v>
      </c>
      <c r="O31">
        <v>0</v>
      </c>
      <c r="P31">
        <v>6.54</v>
      </c>
      <c r="Q31">
        <v>0</v>
      </c>
      <c r="R31" s="1" t="s">
        <v>96</v>
      </c>
      <c r="S31" s="1" t="s">
        <v>125</v>
      </c>
      <c r="T31">
        <v>1.07</v>
      </c>
      <c r="U31" s="1"/>
      <c r="V31" t="b">
        <f t="shared" si="0"/>
        <v>0</v>
      </c>
    </row>
    <row r="32" spans="1:22" x14ac:dyDescent="0.4">
      <c r="A32">
        <v>33</v>
      </c>
      <c r="B32">
        <v>33</v>
      </c>
      <c r="C32" s="1" t="s">
        <v>46</v>
      </c>
      <c r="D32">
        <v>5.0999999999999996</v>
      </c>
      <c r="E32">
        <v>0</v>
      </c>
      <c r="F32">
        <v>0</v>
      </c>
      <c r="G32">
        <v>138</v>
      </c>
      <c r="H32" s="1" t="s">
        <v>39</v>
      </c>
      <c r="I32">
        <v>58.45</v>
      </c>
      <c r="J32">
        <v>6.06</v>
      </c>
      <c r="K32">
        <v>105</v>
      </c>
      <c r="L32">
        <v>344.76</v>
      </c>
      <c r="M32">
        <v>48</v>
      </c>
      <c r="N32">
        <v>4</v>
      </c>
      <c r="O32">
        <v>0</v>
      </c>
      <c r="P32">
        <v>81.58</v>
      </c>
      <c r="Q32">
        <v>0</v>
      </c>
      <c r="R32" s="1" t="s">
        <v>97</v>
      </c>
      <c r="S32" s="1" t="s">
        <v>125</v>
      </c>
      <c r="T32">
        <v>1.17</v>
      </c>
      <c r="U32" s="1"/>
      <c r="V32" t="b">
        <f t="shared" si="0"/>
        <v>0</v>
      </c>
    </row>
    <row r="33" spans="1:22" x14ac:dyDescent="0.4">
      <c r="A33">
        <v>63</v>
      </c>
      <c r="B33">
        <v>63</v>
      </c>
      <c r="C33" s="1" t="s">
        <v>23</v>
      </c>
      <c r="D33">
        <v>5.0999999999999996</v>
      </c>
      <c r="E33">
        <v>0</v>
      </c>
      <c r="F33">
        <v>0</v>
      </c>
      <c r="G33">
        <v>141</v>
      </c>
      <c r="H33" s="1" t="s">
        <v>65</v>
      </c>
      <c r="I33">
        <v>38.72</v>
      </c>
      <c r="J33">
        <v>7.34</v>
      </c>
      <c r="K33">
        <v>78</v>
      </c>
      <c r="L33">
        <v>78.069999999999993</v>
      </c>
      <c r="M33">
        <v>55</v>
      </c>
      <c r="N33">
        <v>3</v>
      </c>
      <c r="O33">
        <v>0</v>
      </c>
      <c r="P33">
        <v>72.02</v>
      </c>
      <c r="Q33">
        <v>0</v>
      </c>
      <c r="R33" s="1" t="s">
        <v>98</v>
      </c>
      <c r="S33" s="1" t="s">
        <v>125</v>
      </c>
      <c r="T33">
        <v>0.99</v>
      </c>
      <c r="U33" s="1"/>
      <c r="V33" t="b">
        <f t="shared" si="0"/>
        <v>0</v>
      </c>
    </row>
    <row r="34" spans="1:22" x14ac:dyDescent="0.4">
      <c r="A34">
        <v>110</v>
      </c>
      <c r="B34">
        <v>110</v>
      </c>
      <c r="C34" s="1" t="s">
        <v>47</v>
      </c>
      <c r="D34">
        <v>5.0999999999999996</v>
      </c>
      <c r="E34">
        <v>0</v>
      </c>
      <c r="F34">
        <v>0</v>
      </c>
      <c r="G34">
        <v>141</v>
      </c>
      <c r="H34" s="1" t="s">
        <v>62</v>
      </c>
      <c r="I34">
        <v>16.21</v>
      </c>
      <c r="J34">
        <v>10.02</v>
      </c>
      <c r="K34">
        <v>31</v>
      </c>
      <c r="L34">
        <v>50.65</v>
      </c>
      <c r="M34">
        <v>18</v>
      </c>
      <c r="N34">
        <v>1</v>
      </c>
      <c r="O34">
        <v>0</v>
      </c>
      <c r="P34">
        <v>25.74</v>
      </c>
      <c r="Q34">
        <v>0</v>
      </c>
      <c r="R34" s="1" t="s">
        <v>99</v>
      </c>
      <c r="S34" s="1" t="s">
        <v>125</v>
      </c>
      <c r="T34">
        <v>0.93</v>
      </c>
      <c r="U34" s="1"/>
      <c r="V34" t="b">
        <f t="shared" ref="V34:V65" si="1">N90=AVERAGE(M:M)</f>
        <v>0</v>
      </c>
    </row>
    <row r="35" spans="1:22" x14ac:dyDescent="0.4">
      <c r="A35">
        <v>23</v>
      </c>
      <c r="B35">
        <v>23</v>
      </c>
      <c r="C35" s="1" t="s">
        <v>48</v>
      </c>
      <c r="D35">
        <v>5.0999999999999996</v>
      </c>
      <c r="E35">
        <v>0</v>
      </c>
      <c r="F35">
        <v>0</v>
      </c>
      <c r="G35">
        <v>143</v>
      </c>
      <c r="H35" s="1" t="s">
        <v>41</v>
      </c>
      <c r="I35">
        <v>29.56</v>
      </c>
      <c r="J35">
        <v>5.93</v>
      </c>
      <c r="K35">
        <v>120</v>
      </c>
      <c r="L35">
        <v>379.48</v>
      </c>
      <c r="M35">
        <v>56</v>
      </c>
      <c r="N35">
        <v>2</v>
      </c>
      <c r="O35">
        <v>0</v>
      </c>
      <c r="P35">
        <v>85.24</v>
      </c>
      <c r="Q35">
        <v>0</v>
      </c>
      <c r="R35" s="1" t="s">
        <v>100</v>
      </c>
      <c r="S35" s="1" t="s">
        <v>125</v>
      </c>
      <c r="T35">
        <v>0.89</v>
      </c>
      <c r="U35" s="1"/>
      <c r="V35" t="b">
        <f t="shared" si="1"/>
        <v>0</v>
      </c>
    </row>
    <row r="36" spans="1:22" x14ac:dyDescent="0.4">
      <c r="A36">
        <v>22</v>
      </c>
      <c r="B36">
        <v>22</v>
      </c>
      <c r="C36" s="1" t="s">
        <v>35</v>
      </c>
      <c r="D36">
        <v>5.0999999999999996</v>
      </c>
      <c r="E36">
        <v>0</v>
      </c>
      <c r="F36">
        <v>0</v>
      </c>
      <c r="G36">
        <v>147</v>
      </c>
      <c r="H36" s="1" t="s">
        <v>59</v>
      </c>
      <c r="I36">
        <v>36.04</v>
      </c>
      <c r="J36">
        <v>13.26</v>
      </c>
      <c r="K36">
        <v>125</v>
      </c>
      <c r="L36">
        <v>171.03</v>
      </c>
      <c r="M36">
        <v>86</v>
      </c>
      <c r="N36">
        <v>3</v>
      </c>
      <c r="O36">
        <v>0</v>
      </c>
      <c r="P36">
        <v>110.67</v>
      </c>
      <c r="Q36">
        <v>0</v>
      </c>
      <c r="R36" s="1" t="s">
        <v>101</v>
      </c>
      <c r="S36" s="1" t="s">
        <v>125</v>
      </c>
      <c r="T36">
        <v>0.97</v>
      </c>
      <c r="U36" s="1"/>
      <c r="V36" t="b">
        <f t="shared" si="1"/>
        <v>0</v>
      </c>
    </row>
    <row r="37" spans="1:22" x14ac:dyDescent="0.4">
      <c r="A37">
        <v>70</v>
      </c>
      <c r="B37">
        <v>70</v>
      </c>
      <c r="C37" s="1" t="s">
        <v>49</v>
      </c>
      <c r="D37">
        <v>5.0999999999999996</v>
      </c>
      <c r="E37">
        <v>0</v>
      </c>
      <c r="F37">
        <v>0</v>
      </c>
      <c r="G37">
        <v>147</v>
      </c>
      <c r="H37" s="1" t="s">
        <v>66</v>
      </c>
      <c r="I37">
        <v>27.81</v>
      </c>
      <c r="J37">
        <v>13.06</v>
      </c>
      <c r="K37">
        <v>77</v>
      </c>
      <c r="L37">
        <v>165.96</v>
      </c>
      <c r="M37">
        <v>41</v>
      </c>
      <c r="N37">
        <v>4</v>
      </c>
      <c r="O37">
        <v>0</v>
      </c>
      <c r="P37">
        <v>64.12</v>
      </c>
      <c r="Q37">
        <v>0</v>
      </c>
      <c r="R37" s="1" t="s">
        <v>102</v>
      </c>
      <c r="S37" s="1" t="s">
        <v>125</v>
      </c>
      <c r="T37">
        <v>1.02</v>
      </c>
      <c r="U37" s="1"/>
      <c r="V37" t="b">
        <f t="shared" si="1"/>
        <v>0</v>
      </c>
    </row>
    <row r="38" spans="1:22" x14ac:dyDescent="0.4">
      <c r="A38">
        <v>77</v>
      </c>
      <c r="B38">
        <v>77</v>
      </c>
      <c r="C38" s="1" t="s">
        <v>30</v>
      </c>
      <c r="D38">
        <v>5.0999999999999996</v>
      </c>
      <c r="E38">
        <v>0</v>
      </c>
      <c r="F38">
        <v>0</v>
      </c>
      <c r="G38">
        <v>150</v>
      </c>
      <c r="H38" s="1" t="s">
        <v>41</v>
      </c>
      <c r="I38">
        <v>29.56</v>
      </c>
      <c r="J38">
        <v>7.93</v>
      </c>
      <c r="K38">
        <v>73</v>
      </c>
      <c r="L38">
        <v>135.01</v>
      </c>
      <c r="M38">
        <v>41</v>
      </c>
      <c r="N38">
        <v>2</v>
      </c>
      <c r="O38">
        <v>0</v>
      </c>
      <c r="P38">
        <v>61.6</v>
      </c>
      <c r="Q38">
        <v>0</v>
      </c>
      <c r="R38" s="1" t="s">
        <v>103</v>
      </c>
      <c r="S38" s="1" t="s">
        <v>125</v>
      </c>
      <c r="T38">
        <v>0.98</v>
      </c>
      <c r="U38" s="1"/>
      <c r="V38" t="b">
        <f t="shared" si="1"/>
        <v>0</v>
      </c>
    </row>
    <row r="39" spans="1:22" x14ac:dyDescent="0.4">
      <c r="A39">
        <v>86</v>
      </c>
      <c r="B39">
        <v>89</v>
      </c>
      <c r="C39" s="1" t="s">
        <v>50</v>
      </c>
      <c r="D39">
        <v>5.0999999999999996</v>
      </c>
      <c r="E39">
        <v>0</v>
      </c>
      <c r="F39">
        <v>3</v>
      </c>
      <c r="G39">
        <v>150</v>
      </c>
      <c r="H39" s="1" t="s">
        <v>55</v>
      </c>
      <c r="I39">
        <v>25.15</v>
      </c>
      <c r="J39">
        <v>13.6</v>
      </c>
      <c r="K39">
        <v>61</v>
      </c>
      <c r="L39">
        <v>252.37</v>
      </c>
      <c r="M39">
        <v>24</v>
      </c>
      <c r="N39">
        <v>1</v>
      </c>
      <c r="O39">
        <v>0</v>
      </c>
      <c r="P39">
        <v>40.39</v>
      </c>
      <c r="Q39">
        <v>0</v>
      </c>
      <c r="R39" s="1" t="s">
        <v>104</v>
      </c>
      <c r="S39" s="1" t="s">
        <v>125</v>
      </c>
      <c r="T39">
        <v>1</v>
      </c>
      <c r="U39" s="1"/>
      <c r="V39" t="b">
        <f t="shared" si="1"/>
        <v>0</v>
      </c>
    </row>
    <row r="40" spans="1:22" x14ac:dyDescent="0.4">
      <c r="A40">
        <v>54</v>
      </c>
      <c r="B40">
        <v>54</v>
      </c>
      <c r="C40" s="1" t="s">
        <v>32</v>
      </c>
      <c r="D40">
        <v>5.0999999999999996</v>
      </c>
      <c r="E40">
        <v>0</v>
      </c>
      <c r="F40">
        <v>0</v>
      </c>
      <c r="G40">
        <v>151</v>
      </c>
      <c r="H40" s="1" t="s">
        <v>65</v>
      </c>
      <c r="I40">
        <v>38.72</v>
      </c>
      <c r="J40">
        <v>12.85</v>
      </c>
      <c r="K40">
        <v>97</v>
      </c>
      <c r="L40">
        <v>160.05000000000001</v>
      </c>
      <c r="M40">
        <v>65</v>
      </c>
      <c r="N40">
        <v>2</v>
      </c>
      <c r="O40">
        <v>0</v>
      </c>
      <c r="P40">
        <v>83.96</v>
      </c>
      <c r="Q40">
        <v>0</v>
      </c>
      <c r="R40" s="1" t="s">
        <v>105</v>
      </c>
      <c r="S40" s="1" t="s">
        <v>125</v>
      </c>
      <c r="T40">
        <v>1</v>
      </c>
      <c r="U40" s="1"/>
      <c r="V40" t="b">
        <f t="shared" si="1"/>
        <v>0</v>
      </c>
    </row>
    <row r="41" spans="1:22" x14ac:dyDescent="0.4">
      <c r="A41">
        <v>32</v>
      </c>
      <c r="B41">
        <v>32</v>
      </c>
      <c r="C41" s="1" t="s">
        <v>37</v>
      </c>
      <c r="D41">
        <v>5.0999999999999996</v>
      </c>
      <c r="E41">
        <v>0</v>
      </c>
      <c r="F41">
        <v>0</v>
      </c>
      <c r="G41">
        <v>183</v>
      </c>
      <c r="H41" s="1" t="s">
        <v>23</v>
      </c>
      <c r="I41">
        <v>29.56</v>
      </c>
      <c r="J41">
        <v>6.04</v>
      </c>
      <c r="K41">
        <v>151</v>
      </c>
      <c r="L41">
        <v>122.23</v>
      </c>
      <c r="M41">
        <v>111</v>
      </c>
      <c r="N41">
        <v>6</v>
      </c>
      <c r="O41">
        <v>0</v>
      </c>
      <c r="P41">
        <v>141.1</v>
      </c>
      <c r="Q41">
        <v>0</v>
      </c>
      <c r="R41" s="1" t="s">
        <v>106</v>
      </c>
      <c r="S41" s="1" t="s">
        <v>125</v>
      </c>
      <c r="T41">
        <v>1.01</v>
      </c>
      <c r="U41" s="1"/>
      <c r="V41" t="b">
        <f t="shared" si="1"/>
        <v>0</v>
      </c>
    </row>
    <row r="42" spans="1:22" x14ac:dyDescent="0.4">
      <c r="A42">
        <v>99</v>
      </c>
      <c r="B42">
        <v>110</v>
      </c>
      <c r="C42" s="1" t="s">
        <v>32</v>
      </c>
      <c r="D42">
        <v>5.0999999999999996</v>
      </c>
      <c r="E42">
        <v>0</v>
      </c>
      <c r="F42">
        <v>11</v>
      </c>
      <c r="G42">
        <v>189</v>
      </c>
      <c r="H42" s="1" t="s">
        <v>22</v>
      </c>
      <c r="I42">
        <v>40.96</v>
      </c>
      <c r="J42">
        <v>9.11</v>
      </c>
      <c r="K42">
        <v>79</v>
      </c>
      <c r="L42">
        <v>153.19</v>
      </c>
      <c r="M42">
        <v>46</v>
      </c>
      <c r="N42">
        <v>2</v>
      </c>
      <c r="O42">
        <v>0</v>
      </c>
      <c r="P42">
        <v>67.37</v>
      </c>
      <c r="Q42">
        <v>0</v>
      </c>
      <c r="R42" s="1" t="s">
        <v>107</v>
      </c>
      <c r="S42" s="1" t="s">
        <v>125</v>
      </c>
      <c r="T42">
        <v>1.1000000000000001</v>
      </c>
      <c r="U42" s="1"/>
      <c r="V42" t="b">
        <f t="shared" si="1"/>
        <v>0</v>
      </c>
    </row>
    <row r="43" spans="1:22" x14ac:dyDescent="0.4">
      <c r="A43">
        <v>85</v>
      </c>
      <c r="B43">
        <v>85</v>
      </c>
      <c r="C43" s="1" t="s">
        <v>24</v>
      </c>
      <c r="D43">
        <v>5.0999999999999996</v>
      </c>
      <c r="E43">
        <v>0</v>
      </c>
      <c r="F43">
        <v>0</v>
      </c>
      <c r="G43">
        <v>191</v>
      </c>
      <c r="H43" s="1" t="s">
        <v>22</v>
      </c>
      <c r="I43">
        <v>40.96</v>
      </c>
      <c r="J43">
        <v>10.32</v>
      </c>
      <c r="K43">
        <v>106</v>
      </c>
      <c r="L43">
        <v>298.89999999999998</v>
      </c>
      <c r="M43">
        <v>46</v>
      </c>
      <c r="N43">
        <v>3</v>
      </c>
      <c r="O43">
        <v>0</v>
      </c>
      <c r="P43">
        <v>81.86</v>
      </c>
      <c r="Q43">
        <v>0</v>
      </c>
      <c r="R43" s="1" t="s">
        <v>108</v>
      </c>
      <c r="S43" s="1" t="s">
        <v>125</v>
      </c>
      <c r="T43">
        <v>0.98</v>
      </c>
      <c r="U43" s="1"/>
      <c r="V43" t="b">
        <f t="shared" si="1"/>
        <v>0</v>
      </c>
    </row>
    <row r="44" spans="1:22" x14ac:dyDescent="0.4">
      <c r="A44">
        <v>87</v>
      </c>
      <c r="B44">
        <v>87</v>
      </c>
      <c r="C44" s="1" t="s">
        <v>41</v>
      </c>
      <c r="D44">
        <v>5.0999999999999996</v>
      </c>
      <c r="E44">
        <v>0</v>
      </c>
      <c r="F44">
        <v>0</v>
      </c>
      <c r="G44">
        <v>192</v>
      </c>
      <c r="H44" s="1" t="s">
        <v>30</v>
      </c>
      <c r="I44">
        <v>33.94</v>
      </c>
      <c r="J44">
        <v>7.45</v>
      </c>
      <c r="K44">
        <v>105</v>
      </c>
      <c r="L44">
        <v>132.03</v>
      </c>
      <c r="M44">
        <v>80</v>
      </c>
      <c r="N44">
        <v>2</v>
      </c>
      <c r="O44">
        <v>0</v>
      </c>
      <c r="P44">
        <v>94.97</v>
      </c>
      <c r="Q44">
        <v>0</v>
      </c>
      <c r="R44" s="1" t="s">
        <v>109</v>
      </c>
      <c r="S44" s="1" t="s">
        <v>125</v>
      </c>
      <c r="T44">
        <v>1.04</v>
      </c>
      <c r="U44" s="1"/>
      <c r="V44" t="b">
        <f t="shared" si="1"/>
        <v>0</v>
      </c>
    </row>
    <row r="45" spans="1:22" x14ac:dyDescent="0.4">
      <c r="A45">
        <v>152</v>
      </c>
      <c r="B45">
        <v>152</v>
      </c>
      <c r="C45" s="1" t="s">
        <v>49</v>
      </c>
      <c r="D45">
        <v>5.0999999999999996</v>
      </c>
      <c r="E45">
        <v>0</v>
      </c>
      <c r="F45">
        <v>0</v>
      </c>
      <c r="G45">
        <v>199</v>
      </c>
      <c r="H45" s="1" t="s">
        <v>45</v>
      </c>
      <c r="I45">
        <v>54.42</v>
      </c>
      <c r="J45">
        <v>7.18</v>
      </c>
      <c r="K45">
        <v>47</v>
      </c>
      <c r="L45">
        <v>100.33</v>
      </c>
      <c r="M45">
        <v>26</v>
      </c>
      <c r="N45">
        <v>1</v>
      </c>
      <c r="O45">
        <v>0</v>
      </c>
      <c r="P45">
        <v>40.26</v>
      </c>
      <c r="Q45">
        <v>0</v>
      </c>
      <c r="R45" s="1" t="s">
        <v>110</v>
      </c>
      <c r="S45" s="1" t="s">
        <v>125</v>
      </c>
      <c r="T45">
        <v>1.07</v>
      </c>
      <c r="U45" s="1"/>
      <c r="V45" t="b">
        <f t="shared" si="1"/>
        <v>0</v>
      </c>
    </row>
    <row r="46" spans="1:22" x14ac:dyDescent="0.4">
      <c r="A46">
        <v>139</v>
      </c>
      <c r="B46">
        <v>139</v>
      </c>
      <c r="C46" s="1" t="s">
        <v>49</v>
      </c>
      <c r="D46">
        <v>5.0999999999999996</v>
      </c>
      <c r="E46">
        <v>0</v>
      </c>
      <c r="F46">
        <v>0</v>
      </c>
      <c r="G46">
        <v>203</v>
      </c>
      <c r="H46" s="1" t="s">
        <v>30</v>
      </c>
      <c r="I46">
        <v>33.94</v>
      </c>
      <c r="J46">
        <v>11.99</v>
      </c>
      <c r="K46">
        <v>64</v>
      </c>
      <c r="L46">
        <v>143.31</v>
      </c>
      <c r="M46">
        <v>39</v>
      </c>
      <c r="N46">
        <v>1</v>
      </c>
      <c r="O46">
        <v>0</v>
      </c>
      <c r="P46">
        <v>51.67</v>
      </c>
      <c r="Q46">
        <v>0</v>
      </c>
      <c r="R46" s="1" t="s">
        <v>111</v>
      </c>
      <c r="S46" s="1" t="s">
        <v>125</v>
      </c>
      <c r="T46">
        <v>0.95</v>
      </c>
      <c r="U46" s="1"/>
      <c r="V46" t="b">
        <f t="shared" si="1"/>
        <v>0</v>
      </c>
    </row>
    <row r="47" spans="1:22" x14ac:dyDescent="0.4">
      <c r="A47">
        <v>37</v>
      </c>
      <c r="B47">
        <v>37</v>
      </c>
      <c r="C47" s="1" t="s">
        <v>41</v>
      </c>
      <c r="D47">
        <v>5.0999999999999996</v>
      </c>
      <c r="E47">
        <v>0</v>
      </c>
      <c r="F47">
        <v>0</v>
      </c>
      <c r="G47">
        <v>205</v>
      </c>
      <c r="H47" s="1" t="s">
        <v>28</v>
      </c>
      <c r="I47">
        <v>60.98</v>
      </c>
      <c r="J47">
        <v>6.78</v>
      </c>
      <c r="K47">
        <v>168</v>
      </c>
      <c r="L47">
        <v>323.2</v>
      </c>
      <c r="M47">
        <v>105</v>
      </c>
      <c r="N47">
        <v>5</v>
      </c>
      <c r="O47">
        <v>0</v>
      </c>
      <c r="P47">
        <v>145.31</v>
      </c>
      <c r="Q47">
        <v>0</v>
      </c>
      <c r="R47" s="1" t="s">
        <v>112</v>
      </c>
      <c r="S47" s="1" t="s">
        <v>125</v>
      </c>
      <c r="T47">
        <v>1.18</v>
      </c>
      <c r="U47" s="1"/>
      <c r="V47" t="b">
        <f t="shared" si="1"/>
        <v>0</v>
      </c>
    </row>
    <row r="48" spans="1:22" x14ac:dyDescent="0.4">
      <c r="A48">
        <v>47</v>
      </c>
      <c r="B48">
        <v>47</v>
      </c>
      <c r="C48" s="1" t="s">
        <v>51</v>
      </c>
      <c r="D48">
        <v>5.0999999999999996</v>
      </c>
      <c r="E48">
        <v>0</v>
      </c>
      <c r="F48">
        <v>0</v>
      </c>
      <c r="G48">
        <v>206</v>
      </c>
      <c r="H48" s="1" t="s">
        <v>60</v>
      </c>
      <c r="I48">
        <v>21.59</v>
      </c>
      <c r="J48">
        <v>11.53</v>
      </c>
      <c r="K48">
        <v>159</v>
      </c>
      <c r="L48">
        <v>271.79000000000002</v>
      </c>
      <c r="M48">
        <v>90</v>
      </c>
      <c r="N48">
        <v>5</v>
      </c>
      <c r="O48">
        <v>0</v>
      </c>
      <c r="P48">
        <v>134.09</v>
      </c>
      <c r="Q48">
        <v>0</v>
      </c>
      <c r="R48" s="1" t="s">
        <v>113</v>
      </c>
      <c r="S48" s="1" t="s">
        <v>125</v>
      </c>
      <c r="T48">
        <v>0.9</v>
      </c>
      <c r="U48" s="1"/>
      <c r="V48" t="b">
        <f t="shared" si="1"/>
        <v>0</v>
      </c>
    </row>
    <row r="49" spans="1:22" x14ac:dyDescent="0.4">
      <c r="A49">
        <v>53</v>
      </c>
      <c r="B49">
        <v>53</v>
      </c>
      <c r="C49" s="1" t="s">
        <v>49</v>
      </c>
      <c r="D49">
        <v>5.0999999999999996</v>
      </c>
      <c r="E49">
        <v>0</v>
      </c>
      <c r="F49">
        <v>0</v>
      </c>
      <c r="G49">
        <v>211</v>
      </c>
      <c r="H49" s="1" t="s">
        <v>28</v>
      </c>
      <c r="I49">
        <v>60.98</v>
      </c>
      <c r="J49">
        <v>9.14</v>
      </c>
      <c r="K49">
        <v>158</v>
      </c>
      <c r="L49">
        <v>334.48</v>
      </c>
      <c r="M49">
        <v>84</v>
      </c>
      <c r="N49">
        <v>5</v>
      </c>
      <c r="O49">
        <v>0</v>
      </c>
      <c r="P49">
        <v>133.55000000000001</v>
      </c>
      <c r="Q49">
        <v>0</v>
      </c>
      <c r="R49" s="1" t="s">
        <v>114</v>
      </c>
      <c r="S49" s="1" t="s">
        <v>125</v>
      </c>
      <c r="T49">
        <v>1.1000000000000001</v>
      </c>
      <c r="U49" s="1"/>
      <c r="V49" t="b">
        <f t="shared" si="1"/>
        <v>0</v>
      </c>
    </row>
    <row r="50" spans="1:22" x14ac:dyDescent="0.4">
      <c r="A50">
        <v>108</v>
      </c>
      <c r="B50">
        <v>110</v>
      </c>
      <c r="C50" s="1" t="s">
        <v>30</v>
      </c>
      <c r="D50">
        <v>5.0999999999999996</v>
      </c>
      <c r="E50">
        <v>0</v>
      </c>
      <c r="F50">
        <v>2</v>
      </c>
      <c r="G50">
        <v>228</v>
      </c>
      <c r="H50" s="1" t="s">
        <v>41</v>
      </c>
      <c r="I50">
        <v>29.56</v>
      </c>
      <c r="J50">
        <v>6.68</v>
      </c>
      <c r="K50">
        <v>118</v>
      </c>
      <c r="L50">
        <v>135.01</v>
      </c>
      <c r="M50">
        <v>84</v>
      </c>
      <c r="N50">
        <v>2</v>
      </c>
      <c r="O50">
        <v>0</v>
      </c>
      <c r="P50">
        <v>107.56</v>
      </c>
      <c r="Q50">
        <v>0</v>
      </c>
      <c r="R50" s="1" t="s">
        <v>115</v>
      </c>
      <c r="S50" s="1" t="s">
        <v>125</v>
      </c>
      <c r="T50">
        <v>1.06</v>
      </c>
      <c r="U50" s="1"/>
      <c r="V50" t="b">
        <f t="shared" si="1"/>
        <v>0</v>
      </c>
    </row>
    <row r="51" spans="1:22" x14ac:dyDescent="0.4">
      <c r="A51">
        <v>89</v>
      </c>
      <c r="B51">
        <v>89</v>
      </c>
      <c r="C51" s="1" t="s">
        <v>37</v>
      </c>
      <c r="D51">
        <v>5.0999999999999996</v>
      </c>
      <c r="E51">
        <v>0</v>
      </c>
      <c r="F51">
        <v>0</v>
      </c>
      <c r="G51">
        <v>233</v>
      </c>
      <c r="H51" s="1" t="s">
        <v>29</v>
      </c>
      <c r="I51">
        <v>58.45</v>
      </c>
      <c r="J51">
        <v>5.1100000000000003</v>
      </c>
      <c r="K51">
        <v>144</v>
      </c>
      <c r="L51">
        <v>129.68</v>
      </c>
      <c r="M51">
        <v>114</v>
      </c>
      <c r="N51">
        <v>4</v>
      </c>
      <c r="O51">
        <v>0</v>
      </c>
      <c r="P51">
        <v>134.24</v>
      </c>
      <c r="Q51">
        <v>0</v>
      </c>
      <c r="R51" s="1" t="s">
        <v>116</v>
      </c>
      <c r="S51" s="1" t="s">
        <v>125</v>
      </c>
      <c r="T51">
        <v>1.02</v>
      </c>
      <c r="U51" s="1"/>
      <c r="V51" t="b">
        <f t="shared" si="1"/>
        <v>0</v>
      </c>
    </row>
    <row r="52" spans="1:22" x14ac:dyDescent="0.4">
      <c r="A52">
        <v>197</v>
      </c>
      <c r="B52">
        <v>197</v>
      </c>
      <c r="C52" s="1" t="s">
        <v>47</v>
      </c>
      <c r="D52">
        <v>5.0999999999999996</v>
      </c>
      <c r="E52">
        <v>0</v>
      </c>
      <c r="F52">
        <v>0</v>
      </c>
      <c r="G52">
        <v>233</v>
      </c>
      <c r="H52" s="1" t="s">
        <v>28</v>
      </c>
      <c r="I52">
        <v>60.98</v>
      </c>
      <c r="J52">
        <v>11.35</v>
      </c>
      <c r="K52">
        <v>36</v>
      </c>
      <c r="L52">
        <v>90.06</v>
      </c>
      <c r="M52">
        <v>20</v>
      </c>
      <c r="N52">
        <v>1</v>
      </c>
      <c r="O52">
        <v>0</v>
      </c>
      <c r="P52">
        <v>27.72</v>
      </c>
      <c r="Q52">
        <v>0</v>
      </c>
      <c r="R52" s="1" t="s">
        <v>117</v>
      </c>
      <c r="S52" s="1" t="s">
        <v>125</v>
      </c>
      <c r="T52">
        <v>0.87</v>
      </c>
      <c r="U52" s="1"/>
      <c r="V52" t="b">
        <f t="shared" si="1"/>
        <v>0</v>
      </c>
    </row>
    <row r="53" spans="1:22" x14ac:dyDescent="0.4">
      <c r="A53">
        <v>100</v>
      </c>
      <c r="B53">
        <v>100</v>
      </c>
      <c r="C53" s="1" t="s">
        <v>49</v>
      </c>
      <c r="D53">
        <v>5.0999999999999996</v>
      </c>
      <c r="E53">
        <v>0</v>
      </c>
      <c r="F53">
        <v>0</v>
      </c>
      <c r="G53">
        <v>240</v>
      </c>
      <c r="H53" s="1" t="s">
        <v>29</v>
      </c>
      <c r="I53">
        <v>58.45</v>
      </c>
      <c r="J53">
        <v>8.44</v>
      </c>
      <c r="K53">
        <v>140</v>
      </c>
      <c r="L53">
        <v>210.88</v>
      </c>
      <c r="M53">
        <v>94</v>
      </c>
      <c r="N53">
        <v>6</v>
      </c>
      <c r="O53">
        <v>0</v>
      </c>
      <c r="P53">
        <v>123.76</v>
      </c>
      <c r="Q53">
        <v>0</v>
      </c>
      <c r="R53" s="1" t="s">
        <v>118</v>
      </c>
      <c r="S53" s="1" t="s">
        <v>125</v>
      </c>
      <c r="T53">
        <v>1.06</v>
      </c>
      <c r="U53" s="1"/>
      <c r="V53" t="b">
        <f t="shared" si="1"/>
        <v>0</v>
      </c>
    </row>
    <row r="54" spans="1:22" x14ac:dyDescent="0.4">
      <c r="A54">
        <v>81</v>
      </c>
      <c r="B54">
        <v>81</v>
      </c>
      <c r="C54" s="1" t="s">
        <v>52</v>
      </c>
      <c r="D54">
        <v>5.0999999999999996</v>
      </c>
      <c r="E54">
        <v>0</v>
      </c>
      <c r="F54">
        <v>0</v>
      </c>
      <c r="G54">
        <v>276</v>
      </c>
      <c r="H54" s="1" t="s">
        <v>45</v>
      </c>
      <c r="I54">
        <v>54.42</v>
      </c>
      <c r="J54">
        <v>7.87</v>
      </c>
      <c r="K54">
        <v>195</v>
      </c>
      <c r="L54">
        <v>343.09</v>
      </c>
      <c r="M54">
        <v>136</v>
      </c>
      <c r="N54">
        <v>4</v>
      </c>
      <c r="O54">
        <v>0</v>
      </c>
      <c r="P54">
        <v>168.43</v>
      </c>
      <c r="Q54">
        <v>0</v>
      </c>
      <c r="R54" s="1" t="s">
        <v>119</v>
      </c>
      <c r="S54" s="1" t="s">
        <v>125</v>
      </c>
      <c r="T54">
        <v>1</v>
      </c>
      <c r="U54" s="1"/>
      <c r="V54" t="b">
        <f t="shared" si="1"/>
        <v>0</v>
      </c>
    </row>
    <row r="55" spans="1:22" x14ac:dyDescent="0.4">
      <c r="A55">
        <v>58</v>
      </c>
      <c r="B55">
        <v>116</v>
      </c>
      <c r="C55" s="1" t="s">
        <v>34</v>
      </c>
      <c r="D55">
        <v>5.0999999999999996</v>
      </c>
      <c r="E55">
        <v>0</v>
      </c>
      <c r="F55">
        <v>58</v>
      </c>
      <c r="G55">
        <v>320</v>
      </c>
      <c r="H55" s="1" t="s">
        <v>60</v>
      </c>
      <c r="I55">
        <v>21.59</v>
      </c>
      <c r="J55">
        <v>12.71</v>
      </c>
      <c r="K55">
        <v>204</v>
      </c>
      <c r="L55">
        <v>114.61</v>
      </c>
      <c r="M55">
        <v>178</v>
      </c>
      <c r="N55">
        <v>3</v>
      </c>
      <c r="O55">
        <v>0</v>
      </c>
      <c r="P55">
        <v>195.48</v>
      </c>
      <c r="Q55">
        <v>0</v>
      </c>
      <c r="R55" s="1" t="s">
        <v>120</v>
      </c>
      <c r="S55" s="1" t="s">
        <v>125</v>
      </c>
      <c r="T55">
        <v>1.02</v>
      </c>
      <c r="U55" s="1"/>
      <c r="V55" t="b">
        <f t="shared" si="1"/>
        <v>0</v>
      </c>
    </row>
    <row r="56" spans="1:22" x14ac:dyDescent="0.4">
      <c r="A56">
        <v>55</v>
      </c>
      <c r="B56">
        <v>107</v>
      </c>
      <c r="C56" s="1" t="s">
        <v>34</v>
      </c>
      <c r="D56">
        <v>5.0999999999999996</v>
      </c>
      <c r="E56">
        <v>0</v>
      </c>
      <c r="F56">
        <v>52</v>
      </c>
      <c r="G56">
        <v>435</v>
      </c>
      <c r="H56" s="1" t="s">
        <v>25</v>
      </c>
      <c r="I56">
        <v>60.98</v>
      </c>
      <c r="J56">
        <v>6</v>
      </c>
      <c r="K56">
        <v>328</v>
      </c>
      <c r="L56">
        <v>218.21</v>
      </c>
      <c r="M56">
        <v>286</v>
      </c>
      <c r="N56">
        <v>3</v>
      </c>
      <c r="O56">
        <v>0</v>
      </c>
      <c r="P56">
        <v>311.58999999999997</v>
      </c>
      <c r="Q56">
        <v>0</v>
      </c>
      <c r="R56" s="1" t="s">
        <v>121</v>
      </c>
      <c r="S56" s="1" t="s">
        <v>125</v>
      </c>
      <c r="T56">
        <v>1</v>
      </c>
      <c r="U56" s="1"/>
      <c r="V56" t="b">
        <f t="shared" si="1"/>
        <v>0</v>
      </c>
    </row>
    <row r="57" spans="1:22" x14ac:dyDescent="0.4">
      <c r="A57">
        <v>133</v>
      </c>
      <c r="B57">
        <v>133</v>
      </c>
      <c r="C57" s="1" t="s">
        <v>31</v>
      </c>
      <c r="D57">
        <v>5.0999999999999996</v>
      </c>
      <c r="E57">
        <v>0</v>
      </c>
      <c r="F57">
        <v>0</v>
      </c>
      <c r="G57">
        <v>463</v>
      </c>
      <c r="H57" s="1" t="s">
        <v>62</v>
      </c>
      <c r="I57">
        <v>16.21</v>
      </c>
      <c r="J57">
        <v>12.69</v>
      </c>
      <c r="K57">
        <v>330</v>
      </c>
      <c r="L57">
        <v>245.66</v>
      </c>
      <c r="M57">
        <v>278</v>
      </c>
      <c r="N57">
        <v>5</v>
      </c>
      <c r="O57">
        <v>0</v>
      </c>
      <c r="P57">
        <v>311.23</v>
      </c>
      <c r="Q57">
        <v>0</v>
      </c>
      <c r="R57" s="1" t="s">
        <v>122</v>
      </c>
      <c r="S57" s="1" t="s">
        <v>125</v>
      </c>
      <c r="T57">
        <v>1.04</v>
      </c>
      <c r="U57" s="1"/>
      <c r="V57" t="b">
        <f t="shared" si="1"/>
        <v>0</v>
      </c>
    </row>
    <row r="58" spans="1:22" x14ac:dyDescent="0.4">
      <c r="A58">
        <v>144</v>
      </c>
      <c r="B58">
        <v>144</v>
      </c>
      <c r="C58" s="1" t="s">
        <v>46</v>
      </c>
      <c r="D58">
        <v>5.0999999999999996</v>
      </c>
      <c r="E58">
        <v>0</v>
      </c>
      <c r="F58">
        <v>0</v>
      </c>
      <c r="G58">
        <v>472</v>
      </c>
      <c r="H58" s="1" t="s">
        <v>53</v>
      </c>
      <c r="I58">
        <v>30.33</v>
      </c>
      <c r="J58">
        <v>9.7100000000000009</v>
      </c>
      <c r="K58">
        <v>328</v>
      </c>
      <c r="L58">
        <v>128.38999999999999</v>
      </c>
      <c r="M58">
        <v>294</v>
      </c>
      <c r="N58">
        <v>3</v>
      </c>
      <c r="O58">
        <v>0</v>
      </c>
      <c r="P58">
        <v>314.04000000000002</v>
      </c>
      <c r="Q58">
        <v>0</v>
      </c>
      <c r="R58" s="1" t="s">
        <v>123</v>
      </c>
      <c r="S58" s="1" t="s">
        <v>125</v>
      </c>
      <c r="T58">
        <v>0.73</v>
      </c>
      <c r="U58" s="1"/>
      <c r="V58" t="b">
        <f t="shared" si="1"/>
        <v>0</v>
      </c>
    </row>
    <row r="59" spans="1:22" x14ac:dyDescent="0.4">
      <c r="A59">
        <v>6</v>
      </c>
      <c r="B59">
        <v>6</v>
      </c>
      <c r="C59" s="1" t="s">
        <v>33</v>
      </c>
      <c r="D59">
        <v>5.0999999999999996</v>
      </c>
      <c r="E59">
        <v>0</v>
      </c>
      <c r="F59">
        <v>0</v>
      </c>
      <c r="G59">
        <v>480</v>
      </c>
      <c r="H59" s="1" t="s">
        <v>21</v>
      </c>
      <c r="I59">
        <v>59.98</v>
      </c>
      <c r="J59">
        <v>0</v>
      </c>
      <c r="K59">
        <v>474</v>
      </c>
      <c r="L59">
        <v>246.84</v>
      </c>
      <c r="M59">
        <v>380</v>
      </c>
      <c r="N59">
        <v>4</v>
      </c>
      <c r="O59">
        <v>0</v>
      </c>
      <c r="P59">
        <v>400.53</v>
      </c>
      <c r="Q59">
        <v>0</v>
      </c>
      <c r="R59" s="1" t="s">
        <v>124</v>
      </c>
      <c r="S59" s="1" t="s">
        <v>125</v>
      </c>
      <c r="T59">
        <v>1.05</v>
      </c>
      <c r="U59" s="1" t="s">
        <v>126</v>
      </c>
      <c r="V59" t="b">
        <f t="shared" si="1"/>
        <v>0</v>
      </c>
    </row>
    <row r="60" spans="1:22" x14ac:dyDescent="0.4">
      <c r="N60">
        <f>AVERAGE(M:M)</f>
        <v>63.172413793103445</v>
      </c>
      <c r="V60" s="2"/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GLAB-PC002</dc:creator>
  <cp:lastModifiedBy>T123093</cp:lastModifiedBy>
  <dcterms:created xsi:type="dcterms:W3CDTF">2026-04-17T07:18:52Z</dcterms:created>
  <dcterms:modified xsi:type="dcterms:W3CDTF">2026-04-17T07:45:51Z</dcterms:modified>
</cp:coreProperties>
</file>